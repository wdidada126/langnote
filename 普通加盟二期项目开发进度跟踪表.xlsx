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workbookPr date1904="false"/>
  <bookViews>
    <workbookView activeTab="0"/>
  </bookViews>
  <sheets>
    <sheet name="总体计划" sheetId="1" r:id="rId3"/>
    <sheet name="项目组成员" sheetId="2" r:id="rId4"/>
    <sheet name="详细计划" sheetId="3" r:id="rId5"/>
    <sheet name="代码合并" sheetId="4" r:id="rId6"/>
    <sheet name="库表同步" sheetId="5" r:id="rId7"/>
  </sheets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<sst xmlns="http://schemas.openxmlformats.org/spreadsheetml/2006/main" xmlns:r="http://schemas.openxmlformats.org/officeDocument/2006/relationships" xmlns:xdr="http://schemas.openxmlformats.org/drawingml/2006/spreadsheetDrawing" xmlns:ns4="http://schemas.microsoft.com/office/excel/2006/main" xmlns:ns5="http://schemas.microsoft.com/office/excel/2008/2/main" count="366" uniqueCount="366">
  <si>
    <t>1.1、需求分析及业务场景梳理</t>
  </si>
  <si>
    <t>刘峰、李明春</t>
  </si>
  <si>
    <t>已完成</t>
  </si>
  <si>
    <t>2.1、业务蓝图方案输出</t>
  </si>
  <si>
    <t>李明春</t>
  </si>
  <si>
    <t>进行中</t>
  </si>
  <si>
    <t>2.2、关键业务流程输出</t>
  </si>
  <si>
    <t>3.1、开发及测试环境准备</t>
  </si>
  <si>
    <t>待开始</t>
  </si>
  <si>
    <t>3.2、整体功能开发实现</t>
  </si>
  <si>
    <t>4.1、测试用例准备、单元测试</t>
  </si>
  <si>
    <t>加盟环境验证</t>
  </si>
  <si>
    <t>核心功能、详细功能</t>
  </si>
  <si>
    <t>4.2 、测试及演练问题修复</t>
  </si>
  <si>
    <t>4.3、 操作手册输出</t>
  </si>
  <si>
    <t>BETA环境验证</t>
  </si>
  <si>
    <t>核心功能</t>
  </si>
  <si>
    <t>4.4 、业务部门演练</t>
  </si>
  <si>
    <t>5.1、正式环境准备</t>
  </si>
  <si>
    <t>5.2、期初数据搜集</t>
  </si>
  <si>
    <t>刘峰</t>
  </si>
  <si>
    <t>5.3、加盟门店期初</t>
  </si>
  <si>
    <t>5.4、第一次财务月结</t>
  </si>
  <si>
    <t>药店通</t>
  </si>
  <si>
    <t>门店补货</t>
  </si>
  <si>
    <t>销售预订单付款（在线支付）</t>
  </si>
  <si>
    <t>门店根据销售预订单进行线上支付</t>
  </si>
  <si>
    <t>二期</t>
  </si>
  <si>
    <t>高</t>
  </si>
  <si>
    <t>赵君</t>
  </si>
  <si>
    <t>袁杰</t>
  </si>
  <si>
    <t>销售预订单付款（账期支付）</t>
  </si>
  <si>
    <t>门店根据销售预订单进行账期支付</t>
  </si>
  <si>
    <t>中</t>
  </si>
  <si>
    <t>补货审批（负毛利预警）</t>
  </si>
  <si>
    <t>系统自动计算实现负毛利预警，供审批人员作为审批参考</t>
  </si>
  <si>
    <t>外协A</t>
  </si>
  <si>
    <t>外协B</t>
  </si>
  <si>
    <t>费用中心</t>
  </si>
  <si>
    <t>账单管理</t>
  </si>
  <si>
    <t>账单管理增加订单号、日期查询</t>
  </si>
  <si>
    <t>低</t>
  </si>
  <si>
    <t>待启动</t>
  </si>
  <si>
    <t>进度正常</t>
  </si>
  <si>
    <t>钱包余额</t>
  </si>
  <si>
    <t>门店发起退款申请以及退款记录查看</t>
  </si>
  <si>
    <t>钱包明细</t>
  </si>
  <si>
    <t>加入在线支付后需考虑的钱包明细变更</t>
  </si>
  <si>
    <t>账期管理</t>
  </si>
  <si>
    <t>信用的概况、汇总等信息</t>
  </si>
  <si>
    <t>账期明细</t>
  </si>
  <si>
    <t>加盟门店信用使用明细</t>
  </si>
  <si>
    <t>结算单管理</t>
  </si>
  <si>
    <t>门店信用交易订单</t>
  </si>
  <si>
    <t>结算单管理-立即还款页面</t>
  </si>
  <si>
    <t>还款页包含汇总记录、结算单及明细、退货明细</t>
  </si>
  <si>
    <t>结算单管理-还款</t>
  </si>
  <si>
    <t>根据加盟门店月度信用交易账单还款，支持在线付款、线下付款、余额方式，还款记录信用变更明细及还款明细</t>
  </si>
  <si>
    <t>开票管理</t>
  </si>
  <si>
    <t>门店查看开票记录</t>
  </si>
  <si>
    <t>门店铺货</t>
  </si>
  <si>
    <t>铺货后再门店端看到补货数据，可进行付款
（用于空店第一次补货）</t>
  </si>
  <si>
    <t>药友财</t>
  </si>
  <si>
    <t>应收管理</t>
  </si>
  <si>
    <t>加盟商钱包管理</t>
  </si>
  <si>
    <t>加盟商付款增加账户余额，或者通过平台调整单（公司给与客户的补贴，折扣等，整数调增账户余额，负数调减账户余额）调整账户余额，销售发货时调减账户余额，退货单库房审核入库后调增账户余额。</t>
  </si>
  <si>
    <t>加盟商账期管理</t>
  </si>
  <si>
    <t>每月月底（晚上12点）系统自动根据加盟商欠款余额生成账单，没有结清欠款，信用额度用不了。加盟商按照收款单金额进行付款，付款后信用额度自动恢复（后期可能要根据加盟商业务量以及接受度进行周期调整，比如将一个月清零一次调整为一个季度清零一次）。</t>
  </si>
  <si>
    <t>公司开票管理</t>
  </si>
  <si>
    <t xml:space="preserve"> 对新增的销售单类型的兼容：
1. 单据同步；2.日汇总；</t>
  </si>
  <si>
    <t>收款单</t>
  </si>
  <si>
    <t>增加根据在线支付结果自动生成的功能
1、即付类型收款单来源为销售预订单
2、账期支付类型收款单来源为账单</t>
  </si>
  <si>
    <t>药聚采</t>
  </si>
  <si>
    <t>加盟药房</t>
  </si>
  <si>
    <t>加盟合同管理</t>
  </si>
  <si>
    <t>1、加盟门店创建的时候需要生成对应的加盟合同并生效
2、加盟合同修改账期字段需要走OA审批
3、加盟合同修改除去账期字段不需要走审批，直接生效
4、加盟合同需要根据有效期生效、失效
5、加盟合同需要有续签的功能
6、合同变更日志</t>
  </si>
  <si>
    <t>唐传永，陈辉</t>
  </si>
  <si>
    <t>唐传永,陈辉</t>
  </si>
  <si>
    <t>张文登</t>
  </si>
  <si>
    <t>药房补货管理</t>
  </si>
  <si>
    <t>加盟客户按照加盟门店或者路线生成提单任务：
锁库配货、按照客户和路线提单</t>
  </si>
  <si>
    <t>单飞</t>
  </si>
  <si>
    <t>杨朋、李文娜、单飞、张轩铭</t>
  </si>
  <si>
    <t>提单任务管理</t>
  </si>
  <si>
    <t>加盟客户按照加盟门店或者路线提单</t>
  </si>
  <si>
    <t>正向流程</t>
  </si>
  <si>
    <t>1、请货的时候生成预销售订单，预销售订单选择账期支付的时候，需要验证钱包余额和可用额度是否足够
2、预销售订单生成销售订单需要记录【加盟合同编码】、【结算方式】、【结算天数】、【授信额度】
3、生成出库单需要记录【加盟合同编码】、【结算方式】、【结算天数】、【授信额度】、需要计算【到期日】并同步到销售订单
4、正向流程需要添加【授信额度】冻结核销逻辑</t>
  </si>
  <si>
    <t>杨朋</t>
  </si>
  <si>
    <t>杨朋、李文娜、张轩铭</t>
  </si>
  <si>
    <t>逆向流程</t>
  </si>
  <si>
    <t>1、逆向流程需要添加【授信额度】还的逻辑</t>
  </si>
  <si>
    <t>药仓宝</t>
  </si>
  <si>
    <t>基础设置</t>
  </si>
  <si>
    <t>加盟路线管理</t>
  </si>
  <si>
    <t>加盟客户路线管理</t>
  </si>
  <si>
    <t>销售订单管理</t>
  </si>
  <si>
    <t>销售订单</t>
  </si>
  <si>
    <t>批销出回传接口改造
分支1：如果仓库发货0，空发，调用消息通知归还门店余额
分支2：有发货数量，通过批销订单类型=加盟类型，来判断是走旧的WM_0006还是调用新的消息</t>
  </si>
  <si>
    <t>蔡城栋</t>
  </si>
  <si>
    <t>蔡城栋、施琼娇</t>
  </si>
  <si>
    <t>销售退单</t>
  </si>
  <si>
    <t>批销退回传接口改造
回传接口中追加生成门店发货单出库单，并通过批销订单类型=加盟类型来判断是否调用新的过账消息，否则调用旧的过账消息</t>
  </si>
  <si>
    <t>xjmdev_memorder</t>
  </si>
  <si>
    <t>待同步</t>
  </si>
  <si>
    <t>beta_memorder</t>
  </si>
  <si>
    <t>xjmdev_tenanstor</t>
  </si>
  <si>
    <t>xjmdev_mdm</t>
  </si>
  <si>
    <t>xjmdev_supplychain</t>
  </si>
  <si>
    <t>xjmdev_activiti</t>
  </si>
  <si>
    <t>xjmdev_tenankajuan</t>
  </si>
  <si>
    <t>xjmdev_tenanord</t>
  </si>
  <si>
    <t>xjmdev_msgcenter</t>
  </si>
  <si>
    <t>xjmdev_finance</t>
  </si>
  <si>
    <t>xjmdev_platform</t>
  </si>
  <si>
    <t>xjmdev_tenanpro</t>
  </si>
  <si>
    <t>xjmdev_logistics</t>
  </si>
  <si>
    <t>后台接口</t>
  </si>
  <si>
    <t>erp-ops</t>
  </si>
  <si>
    <t>药店通中台接口</t>
  </si>
  <si>
    <t>待创建</t>
  </si>
  <si>
    <t>待合并</t>
  </si>
  <si>
    <t>待发布</t>
  </si>
  <si>
    <t>erp-ops-api</t>
  </si>
  <si>
    <t>药店通中台接口api</t>
  </si>
  <si>
    <t>unitepos-api</t>
  </si>
  <si>
    <t>客户端接口api</t>
  </si>
  <si>
    <t>unitepos-ocs</t>
  </si>
  <si>
    <t>外卖服务接口</t>
  </si>
  <si>
    <t>unitepos-sale</t>
  </si>
  <si>
    <t>销售收银接口</t>
  </si>
  <si>
    <t>unitepos-base</t>
  </si>
  <si>
    <t>客户端接口</t>
  </si>
  <si>
    <t>unitepos-common</t>
  </si>
  <si>
    <t>客户端公共服务</t>
  </si>
  <si>
    <t>已创建</t>
  </si>
  <si>
    <t>已合并</t>
  </si>
  <si>
    <t>omp_cstock_api</t>
  </si>
  <si>
    <t>门店库存接口api</t>
  </si>
  <si>
    <t>omp_cstock</t>
  </si>
  <si>
    <t>门店库存接口</t>
  </si>
  <si>
    <t>omp_ccash</t>
  </si>
  <si>
    <t>门店交易接口</t>
  </si>
  <si>
    <t>omp-ccash-api</t>
  </si>
  <si>
    <t>门店交易接口api</t>
  </si>
  <si>
    <t>unitepos-ship</t>
  </si>
  <si>
    <t>POS发货服务</t>
  </si>
  <si>
    <t>websocket-server</t>
  </si>
  <si>
    <t>websocket服务</t>
  </si>
  <si>
    <t>payment-center-api</t>
  </si>
  <si>
    <t>支付中心接口</t>
  </si>
  <si>
    <t>payment-center</t>
  </si>
  <si>
    <t>支付中心</t>
  </si>
  <si>
    <t>scrm_api</t>
  </si>
  <si>
    <t>卡券、积分服务接口api</t>
  </si>
  <si>
    <t>scrm-card</t>
  </si>
  <si>
    <t>卡券、积分服务接口</t>
  </si>
  <si>
    <t>omp_cpromotion_api</t>
  </si>
  <si>
    <t>促销接口api</t>
  </si>
  <si>
    <t>omp_cmember_new_api</t>
  </si>
  <si>
    <t>会员服务接口api</t>
  </si>
  <si>
    <t>omp_cpromotion</t>
  </si>
  <si>
    <t>促销接口</t>
  </si>
  <si>
    <t>omp_cmember_new</t>
  </si>
  <si>
    <t>会员服务接口</t>
  </si>
  <si>
    <t>omp_cuser_api</t>
  </si>
  <si>
    <t>用户服务接口api</t>
  </si>
  <si>
    <t>omp_cuser</t>
  </si>
  <si>
    <t>用户服务接口</t>
  </si>
  <si>
    <t>erp-gateway</t>
  </si>
  <si>
    <t>网关服务</t>
  </si>
  <si>
    <t>无需创建</t>
  </si>
  <si>
    <t>omp_cproduct_api</t>
  </si>
  <si>
    <t>商品主数据接口api</t>
  </si>
  <si>
    <t>erp-api</t>
  </si>
  <si>
    <t>共用接口api</t>
  </si>
  <si>
    <t>erp-wm</t>
  </si>
  <si>
    <t>仓库接口</t>
  </si>
  <si>
    <t>erp-scm</t>
  </si>
  <si>
    <t>供应链接口</t>
  </si>
  <si>
    <t>erp-so</t>
  </si>
  <si>
    <t>销售单调拨单接口</t>
  </si>
  <si>
    <t>erp-ars</t>
  </si>
  <si>
    <t>门店请货接口</t>
  </si>
  <si>
    <t>erp-common</t>
  </si>
  <si>
    <t>共用通用包</t>
  </si>
  <si>
    <t>omp_cproduct</t>
  </si>
  <si>
    <t>商品主数据接口</t>
  </si>
  <si>
    <t>omp_cmasterdata_api</t>
  </si>
  <si>
    <t>主数据接口api</t>
  </si>
  <si>
    <t>omp_cmasterdata</t>
  </si>
  <si>
    <t>主数据接口</t>
  </si>
  <si>
    <t>erp-wmsinterface-api</t>
  </si>
  <si>
    <t>erp-wmsinterface</t>
  </si>
  <si>
    <t>erp-fi</t>
  </si>
  <si>
    <t>财务</t>
  </si>
  <si>
    <t>portal-service</t>
  </si>
  <si>
    <t>非网关服务</t>
  </si>
  <si>
    <t>前端</t>
  </si>
  <si>
    <t>master-data-pos</t>
  </si>
  <si>
    <t>客户端前端</t>
  </si>
  <si>
    <t>master-data-ops</t>
  </si>
  <si>
    <t>中台前端</t>
  </si>
  <si>
    <t>master-data-promotion</t>
  </si>
  <si>
    <t>促销前端</t>
  </si>
  <si>
    <t>master-data-scrm</t>
  </si>
  <si>
    <t>卡券、积分前端</t>
  </si>
  <si>
    <t>pos-shell</t>
  </si>
  <si>
    <t>客户端打包后</t>
  </si>
  <si>
    <t>master-data-erp</t>
  </si>
  <si>
    <t>供应链前端</t>
  </si>
  <si>
    <t>master-data-mdms</t>
  </si>
  <si>
    <t>主数据前端</t>
  </si>
  <si>
    <t>portal-shell</t>
  </si>
  <si>
    <t>中台打包后</t>
  </si>
  <si>
    <t>主数据</t>
  </si>
  <si>
    <t>王兆永</t>
  </si>
  <si>
    <t>聂杰伟、从小飞</t>
  </si>
  <si>
    <t>供应链</t>
  </si>
  <si>
    <t>李文娜</t>
  </si>
  <si>
    <t>杨朋、单飞、张文登</t>
  </si>
  <si>
    <t>马栋梁</t>
  </si>
  <si>
    <t>赵君、宋星运、袁杰、施琼娇</t>
  </si>
  <si>
    <t>汤静</t>
  </si>
  <si>
    <t>杨振毅、舒侃、伍成</t>
  </si>
  <si>
    <t>BI对接</t>
  </si>
  <si>
    <t>丁小男</t>
  </si>
  <si>
    <t>项目运维</t>
  </si>
  <si>
    <t>光耀辉</t>
  </si>
  <si>
    <r>
      <rPr>
        <rFont val="Microsoft YaHei"/>
        <sz val="14.0"/>
        <color rgb="FF000000"/>
        <b val="true"/>
      </rPr>
      <t xml:space="preserve">二期</t>
    </r>
    <phoneticPr fontId="1" type="noConversion"/>
  </si>
  <si>
    <r>
      <rPr>
        <rFont val="Microsoft YaHei"/>
        <sz val="10.0"/>
        <color rgb="FFFFFFFF"/>
        <b val="true"/>
      </rPr>
      <t xml:space="preserve">项目阶段</t>
    </r>
    <phoneticPr fontId="1" type="noConversion"/>
  </si>
  <si>
    <r>
      <rPr>
        <rFont val="Microsoft YaHei"/>
        <sz val="10.0"/>
        <color rgb="FFFFFFFF"/>
        <b val="true"/>
      </rPr>
      <t xml:space="preserve">关键任务</t>
    </r>
    <phoneticPr fontId="1" type="noConversion"/>
  </si>
  <si>
    <r>
      <rPr>
        <rFont val="Microsoft YaHei"/>
        <sz val="10.0"/>
        <color rgb="FFFFFFFF"/>
        <b val="true"/>
      </rPr>
      <t xml:space="preserve">普通加盟</t>
    </r>
    <phoneticPr fontId="1" type="noConversion"/>
  </si>
  <si>
    <r>
      <rPr>
        <rFont val="Microsoft YaHei"/>
        <sz val="10.0"/>
        <color rgb="FFFFFFFF"/>
        <b val="true"/>
      </rPr>
      <t xml:space="preserve">负责人</t>
    </r>
    <phoneticPr fontId="1" type="noConversion"/>
  </si>
  <si>
    <r>
      <rPr>
        <rFont val="Microsoft YaHei"/>
        <sz val="10.0"/>
        <color rgb="FFFFFFFF"/>
        <b val="true"/>
      </rPr>
      <t xml:space="preserve">进度</t>
    </r>
    <phoneticPr fontId="1" type="noConversion"/>
  </si>
  <si>
    <r>
      <rPr>
        <rFont val="Microsoft YaHei"/>
        <sz val="10.0"/>
        <color rgb="FFFFFFFF"/>
        <b val="true"/>
      </rPr>
      <t xml:space="preserve">状态</t>
    </r>
    <phoneticPr fontId="1" type="noConversion"/>
  </si>
  <si>
    <r>
      <rPr>
        <rFont val="Microsoft YaHei"/>
        <sz val="10.0"/>
        <color rgb="FFFFFFFF"/>
        <b val="true"/>
      </rPr>
      <t xml:space="preserve">计划开始日期</t>
    </r>
    <phoneticPr fontId="1" type="noConversion"/>
  </si>
  <si>
    <r>
      <rPr>
        <rFont val="Microsoft YaHei"/>
        <sz val="10.0"/>
        <color rgb="FFFFFFFF"/>
        <b val="true"/>
      </rPr>
      <t xml:space="preserve">计划结束日期</t>
    </r>
    <phoneticPr fontId="1" type="noConversion"/>
  </si>
  <si>
    <r>
      <rPr>
        <rFont val="Microsoft YaHei"/>
        <sz val="10.0"/>
        <color rgb="FFFFFFFF"/>
        <b val="true"/>
      </rPr>
      <t xml:space="preserve">备注</t>
    </r>
    <phoneticPr fontId="1" type="noConversion"/>
  </si>
  <si>
    <r>
      <rPr>
        <rFont val="Microsoft YaHei"/>
        <sz val="10.0"/>
        <color rgb="FF000000"/>
        <b val="true"/>
      </rPr>
      <t xml:space="preserve">一、业务调研</t>
    </r>
    <phoneticPr fontId="1" type="noConversion"/>
  </si>
  <si>
    <r>
      <rPr>
        <rFont val="Microsoft YaHei"/>
        <sz val="10.0"/>
        <color rgb="FF000000"/>
        <b val="true"/>
      </rPr>
      <t xml:space="preserve">二、蓝图设计</t>
    </r>
    <phoneticPr fontId="1" type="noConversion"/>
  </si>
  <si>
    <r>
      <rPr>
        <rFont val="Microsoft YaHei"/>
        <sz val="10.0"/>
        <color rgb="FF000000"/>
        <b val="true"/>
      </rPr>
      <t xml:space="preserve">三、功能开发</t>
    </r>
    <phoneticPr fontId="1" type="noConversion"/>
  </si>
  <si>
    <r>
      <rPr>
        <rFont val="Microsoft YaHei"/>
        <sz val="10.0"/>
        <color rgb="FF000000"/>
        <b val="true"/>
      </rPr>
      <t xml:space="preserve">四、系统测试</t>
    </r>
    <phoneticPr fontId="1" type="noConversion"/>
  </si>
  <si>
    <r>
      <rPr>
        <rFont val="Microsoft YaHei"/>
        <sz val="10.0"/>
        <color rgb="FF000000"/>
        <b val="true"/>
      </rPr>
      <t xml:space="preserve">代码封版</t>
    </r>
    <phoneticPr fontId="1" type="noConversion"/>
  </si>
  <si>
    <r>
      <rPr>
        <rFont val="Microsoft YaHei"/>
        <sz val="10.0"/>
        <color rgb="FFFF0000"/>
        <b val="true"/>
      </rPr>
      <t xml:space="preserve">里程碑节点</t>
    </r>
    <phoneticPr fontId="1" type="noConversion"/>
  </si>
  <si>
    <r>
      <rPr>
        <rFont val="Microsoft YaHei"/>
        <sz val="10.0"/>
        <color rgb="FF000000"/>
        <b val="true"/>
      </rPr>
      <t xml:space="preserve">五、上线实施</t>
    </r>
    <phoneticPr fontId="1" type="noConversion"/>
  </si>
  <si>
    <r>
      <rPr>
        <rFont val="Microsoft YaHei"/>
        <sz val="10.0"/>
        <color rgb="FFFF0000"/>
        <b val="true"/>
      </rPr>
      <t xml:space="preserve">关键节点</t>
    </r>
    <phoneticPr fontId="1" type="noConversion"/>
  </si>
  <si>
    <r>
      <rPr>
        <rFont val="Microsoft YaHei"/>
        <sz val="10.0"/>
        <color rgb="FFFF0000"/>
        <b val="true"/>
      </rPr>
      <t xml:space="preserve">关键节点</t>
    </r>
    <phoneticPr fontId="1" type="noConversion"/>
  </si>
  <si>
    <r>
      <rPr>
        <rFont val="Microsoft YaHei"/>
        <sz val="10.0"/>
        <color rgb="FFFF0000"/>
        <b val="true"/>
      </rPr>
      <t xml:space="preserve">关键节点</t>
    </r>
    <phoneticPr fontId="1" type="noConversion"/>
  </si>
  <si>
    <r>
      <rPr>
        <rFont val="微软雅黑"/>
        <sz val="12.0"/>
        <color rgb="FF000000"/>
        <b val="true"/>
      </rPr>
      <t xml:space="preserve">负责人</t>
    </r>
    <phoneticPr fontId="1" type="noConversion"/>
  </si>
  <si>
    <r>
      <rPr>
        <rFont val="微软雅黑"/>
        <sz val="12.0"/>
        <color rgb="FF000000"/>
        <b val="true"/>
      </rPr>
      <t xml:space="preserve">资源</t>
    </r>
    <phoneticPr fontId="1" type="noConversion"/>
  </si>
  <si>
    <r>
      <rPr>
        <rFont val="微软雅黑"/>
        <sz val="12.0"/>
        <color rgb="FF000000"/>
        <b val="true"/>
      </rPr>
      <t xml:space="preserve">人数</t>
    </r>
    <phoneticPr fontId="1" type="noConversion"/>
  </si>
  <si>
    <r>
      <rPr>
        <rFont val="微软雅黑"/>
        <sz val="10.0"/>
        <color rgb="FF000000"/>
        <b val="true"/>
      </rPr>
      <t xml:space="preserve">总数</t>
    </r>
    <phoneticPr fontId="1" type="noConversion"/>
  </si>
  <si>
    <r>
      <rPr>
        <rFont val="微软雅黑"/>
        <sz val="10.0"/>
        <color rgb="FF000000"/>
        <b val="true"/>
      </rPr>
      <t xml:space="preserve">重复</t>
    </r>
    <phoneticPr fontId="1" type="noConversion"/>
  </si>
  <si>
    <r>
      <rPr>
        <rFont val="微软雅黑"/>
        <sz val="10.0"/>
        <color rgb="FF000000"/>
        <b val="true"/>
      </rPr>
      <t xml:space="preserve">合计</t>
    </r>
    <phoneticPr fontId="1" type="noConversion"/>
  </si>
  <si>
    <r>
      <rPr>
        <rFont val="微软雅黑"/>
        <sz val="12.0"/>
        <color rgb="FF000000"/>
        <b val="true"/>
      </rPr>
      <t xml:space="preserve">模块</t>
    </r>
    <phoneticPr fontId="1" type="noConversion"/>
  </si>
  <si>
    <r>
      <rPr>
        <rFont val="Microsoft YaHei Light"/>
        <sz val="10.0"/>
        <color rgb="FF000000"/>
        <b val="true"/>
      </rPr>
      <t xml:space="preserve">主业务域</t>
    </r>
    <phoneticPr fontId="1" type="noConversion"/>
  </si>
  <si>
    <r>
      <rPr>
        <rFont val="Microsoft YaHei Light"/>
        <sz val="10.0"/>
        <color rgb="FF000000"/>
        <b val="true"/>
      </rPr>
      <t xml:space="preserve">一级菜单</t>
    </r>
    <phoneticPr fontId="1" type="noConversion"/>
  </si>
  <si>
    <r>
      <rPr>
        <rFont val="Microsoft YaHei Light"/>
        <sz val="10.0"/>
        <color rgb="FF000000"/>
        <b val="true"/>
      </rPr>
      <t xml:space="preserve">页面</t>
    </r>
    <phoneticPr fontId="1" type="noConversion"/>
  </si>
  <si>
    <r>
      <rPr>
        <rFont val="Microsoft YaHei Light"/>
        <sz val="10.0"/>
        <color rgb="FF000000"/>
        <b val="true"/>
      </rPr>
      <t xml:space="preserve">功能点</t>
    </r>
    <phoneticPr fontId="1" type="noConversion"/>
  </si>
  <si>
    <r>
      <rPr>
        <rFont val="Microsoft YaHei"/>
        <sz val="10.0"/>
        <color rgb="FF000000"/>
        <b val="true"/>
      </rPr>
      <t xml:space="preserve">阶段</t>
    </r>
    <phoneticPr fontId="1" type="noConversion"/>
  </si>
  <si>
    <r>
      <rPr>
        <rFont val="Microsoft YaHei Light"/>
        <sz val="10.0"/>
        <color rgb="FF000000"/>
        <b val="true"/>
      </rPr>
      <t xml:space="preserve">优先级</t>
    </r>
    <phoneticPr fontId="1" type="noConversion"/>
  </si>
  <si>
    <r>
      <rPr>
        <rFont val="Microsoft YaHei"/>
        <sz val="10.0"/>
        <color rgb="FF000000"/>
        <b val="true"/>
      </rPr>
      <t xml:space="preserve">进展</t>
    </r>
    <phoneticPr fontId="1" type="noConversion"/>
  </si>
  <si>
    <r>
      <rPr>
        <rFont val="Microsoft YaHei"/>
        <sz val="10.0"/>
        <color rgb="FF000000"/>
        <b val="true"/>
      </rPr>
      <t xml:space="preserve">进度</t>
    </r>
    <phoneticPr fontId="1" type="noConversion"/>
  </si>
  <si>
    <r>
      <rPr>
        <rFont val="Microsoft YaHei"/>
        <sz val="10.0"/>
        <color rgb="FF000000"/>
        <b val="true"/>
      </rPr>
      <t xml:space="preserve">状态</t>
    </r>
    <phoneticPr fontId="1" type="noConversion"/>
  </si>
  <si>
    <r>
      <rPr>
        <rFont val="Microsoft YaHei"/>
        <sz val="10.0"/>
        <color rgb="FFFFFFFF"/>
        <b val="true"/>
      </rPr>
      <t xml:space="preserve">预估工作量</t>
    </r>
    <r>
      <rPr>
        <rFont val="微软雅黑"/>
        <sz val="10.0"/>
        <color rgb="FFFFFFFF"/>
        <b val="true"/>
      </rPr>
      <t xml:space="preserve">/天</t>
    </r>
    <phoneticPr fontId="1" type="noConversion"/>
  </si>
  <si>
    <r>
      <rPr>
        <rFont val="Microsoft YaHei"/>
        <sz val="10.0"/>
        <color rgb="FF000000"/>
        <b val="true"/>
      </rPr>
      <t xml:space="preserve">设计</t>
    </r>
    <phoneticPr fontId="1" type="noConversion"/>
  </si>
  <si>
    <r>
      <rPr>
        <rFont val="Microsoft YaHei"/>
        <sz val="10.0"/>
        <color rgb="FF000000"/>
        <b val="true"/>
      </rPr>
      <t xml:space="preserve">后端开发（计划）</t>
    </r>
    <phoneticPr fontId="1" type="noConversion"/>
  </si>
  <si>
    <r>
      <rPr>
        <rFont val="Microsoft YaHei"/>
        <sz val="10.0"/>
        <color rgb="FF000000"/>
        <b val="true"/>
      </rPr>
      <t xml:space="preserve">后端开发（实际）</t>
    </r>
    <phoneticPr fontId="1" type="noConversion"/>
  </si>
  <si>
    <r>
      <rPr>
        <rFont val="Microsoft YaHei Light"/>
        <sz val="10.0"/>
        <color rgb="FF000000"/>
        <b val="true"/>
      </rPr>
      <t xml:space="preserve">前端开发（计划）</t>
    </r>
    <phoneticPr fontId="1" type="noConversion"/>
  </si>
  <si>
    <r>
      <rPr>
        <rFont val="Microsoft YaHei Light"/>
        <sz val="10.0"/>
        <color rgb="FF000000"/>
        <b val="true"/>
      </rPr>
      <t xml:space="preserve">前端开发（实际）</t>
    </r>
    <phoneticPr fontId="1" type="noConversion"/>
  </si>
  <si>
    <r>
      <rPr>
        <rFont val="Microsoft YaHei"/>
        <sz val="10.0"/>
        <color rgb="FF000000"/>
        <b val="true"/>
      </rPr>
      <t xml:space="preserve">测试（计划）</t>
    </r>
    <phoneticPr fontId="1" type="noConversion"/>
  </si>
  <si>
    <r>
      <rPr>
        <rFont val="Microsoft YaHei"/>
        <sz val="10.0"/>
        <color rgb="FF000000"/>
        <b val="true"/>
      </rPr>
      <t xml:space="preserve">测试（实际）</t>
    </r>
    <phoneticPr fontId="1" type="noConversion"/>
  </si>
  <si>
    <r>
      <rPr>
        <rFont val="微软雅黑"/>
        <sz val="10.0"/>
        <color rgb="FFFFFFFF"/>
        <b val="true"/>
      </rPr>
      <t xml:space="preserve">设计</t>
    </r>
    <phoneticPr fontId="1" type="noConversion"/>
  </si>
  <si>
    <r>
      <rPr>
        <rFont val="微软雅黑"/>
        <sz val="10.0"/>
        <color rgb="FFFFFFFF"/>
        <b val="true"/>
      </rPr>
      <t xml:space="preserve">开发</t>
    </r>
    <phoneticPr fontId="1" type="noConversion"/>
  </si>
  <si>
    <r>
      <rPr>
        <rFont val="微软雅黑"/>
        <sz val="10.0"/>
        <color rgb="FFFFFFFF"/>
        <b val="true"/>
      </rPr>
      <t xml:space="preserve">测试</t>
    </r>
    <phoneticPr fontId="1" type="noConversion"/>
  </si>
  <si>
    <r>
      <rPr>
        <rFont val="微软雅黑"/>
        <sz val="10.0"/>
        <color rgb="FFFFFFFF"/>
        <b val="true"/>
      </rPr>
      <t xml:space="preserve">合计</t>
    </r>
    <phoneticPr fontId="1" type="noConversion"/>
  </si>
  <si>
    <r>
      <rPr>
        <rFont val="Microsoft YaHei"/>
        <sz val="10.0"/>
        <color rgb="FF000000"/>
        <b val="true"/>
      </rPr>
      <t xml:space="preserve">开始日期</t>
    </r>
    <phoneticPr fontId="1" type="noConversion"/>
  </si>
  <si>
    <r>
      <rPr>
        <rFont val="Microsoft YaHei"/>
        <sz val="10.0"/>
        <color rgb="FF000000"/>
        <b val="true"/>
      </rPr>
      <t xml:space="preserve">结束日期</t>
    </r>
    <phoneticPr fontId="1" type="noConversion"/>
  </si>
  <si>
    <r>
      <rPr>
        <rFont val="Microsoft YaHei"/>
        <sz val="10.0"/>
        <color rgb="FF000000"/>
        <b val="true"/>
      </rPr>
      <t xml:space="preserve">人天</t>
    </r>
    <phoneticPr fontId="1" type="noConversion"/>
  </si>
  <si>
    <r>
      <rPr>
        <rFont val="Microsoft YaHei"/>
        <sz val="10.0"/>
        <color rgb="FF000000"/>
        <b val="true"/>
      </rPr>
      <t xml:space="preserve">人员</t>
    </r>
    <phoneticPr fontId="1" type="noConversion"/>
  </si>
  <si>
    <r>
      <rPr>
        <rFont val="Microsoft YaHei"/>
        <sz val="10.0"/>
        <color rgb="FF000000"/>
        <b val="true"/>
      </rPr>
      <t xml:space="preserve">开始日期</t>
    </r>
    <phoneticPr fontId="1" type="noConversion"/>
  </si>
  <si>
    <r>
      <rPr>
        <rFont val="Microsoft YaHei"/>
        <sz val="10.0"/>
        <color rgb="FF000000"/>
        <b val="true"/>
      </rPr>
      <t xml:space="preserve">结束日期</t>
    </r>
    <phoneticPr fontId="1" type="noConversion"/>
  </si>
  <si>
    <r>
      <rPr>
        <rFont val="Microsoft YaHei"/>
        <sz val="10.0"/>
        <color rgb="FF000000"/>
        <b val="true"/>
      </rPr>
      <t xml:space="preserve">人天</t>
    </r>
    <phoneticPr fontId="1" type="noConversion"/>
  </si>
  <si>
    <r>
      <rPr>
        <rFont val="Microsoft YaHei"/>
        <sz val="10.0"/>
        <color rgb="FF000000"/>
        <b val="true"/>
      </rPr>
      <t xml:space="preserve">人员</t>
    </r>
    <phoneticPr fontId="1" type="noConversion"/>
  </si>
  <si>
    <r>
      <rPr>
        <rFont val="Microsoft YaHei"/>
        <sz val="10.0"/>
        <color rgb="FF000000"/>
        <b val="true"/>
      </rPr>
      <t xml:space="preserve">开始日期</t>
    </r>
    <phoneticPr fontId="1" type="noConversion"/>
  </si>
  <si>
    <r>
      <rPr>
        <rFont val="Microsoft YaHei"/>
        <sz val="10.0"/>
        <color rgb="FF000000"/>
        <b val="true"/>
      </rPr>
      <t xml:space="preserve">结束日期</t>
    </r>
    <phoneticPr fontId="1" type="noConversion"/>
  </si>
  <si>
    <r>
      <rPr>
        <rFont val="Microsoft YaHei"/>
        <sz val="10.0"/>
        <color rgb="FF000000"/>
        <b val="true"/>
      </rPr>
      <t xml:space="preserve">人员</t>
    </r>
    <phoneticPr fontId="1" type="noConversion"/>
  </si>
  <si>
    <r>
      <rPr>
        <rFont val="Microsoft YaHei"/>
        <sz val="10.0"/>
        <color rgb="FF000000"/>
        <b val="true"/>
      </rPr>
      <t xml:space="preserve">进度</t>
    </r>
    <phoneticPr fontId="1" type="noConversion"/>
  </si>
  <si>
    <r>
      <rPr>
        <rFont val="Microsoft YaHei Light"/>
        <sz val="10.0"/>
        <color rgb="FF000000"/>
        <b val="true"/>
      </rPr>
      <t xml:space="preserve">开始日期</t>
    </r>
    <phoneticPr fontId="1" type="noConversion"/>
  </si>
  <si>
    <r>
      <rPr>
        <rFont val="Microsoft YaHei Light"/>
        <sz val="10.0"/>
        <color rgb="FF000000"/>
        <b val="true"/>
      </rPr>
      <t xml:space="preserve">结束日期</t>
    </r>
    <phoneticPr fontId="1" type="noConversion"/>
  </si>
  <si>
    <r>
      <rPr>
        <rFont val="Microsoft YaHei Light"/>
        <sz val="10.0"/>
        <color rgb="FF000000"/>
        <b val="true"/>
      </rPr>
      <t xml:space="preserve">人天</t>
    </r>
    <phoneticPr fontId="1" type="noConversion"/>
  </si>
  <si>
    <r>
      <rPr>
        <rFont val="Microsoft YaHei Light"/>
        <sz val="10.0"/>
        <color rgb="FF000000"/>
        <b val="true"/>
      </rPr>
      <t xml:space="preserve">人员</t>
    </r>
    <phoneticPr fontId="1" type="noConversion"/>
  </si>
  <si>
    <r>
      <rPr>
        <rFont val="Microsoft YaHei Light"/>
        <sz val="10.0"/>
        <color rgb="FF000000"/>
        <b val="true"/>
      </rPr>
      <t xml:space="preserve">开始日期</t>
    </r>
    <phoneticPr fontId="1" type="noConversion"/>
  </si>
  <si>
    <r>
      <rPr>
        <rFont val="Microsoft YaHei Light"/>
        <sz val="10.0"/>
        <color rgb="FF000000"/>
        <b val="true"/>
      </rPr>
      <t xml:space="preserve">结束日期</t>
    </r>
    <phoneticPr fontId="1" type="noConversion"/>
  </si>
  <si>
    <r>
      <rPr>
        <rFont val="Microsoft YaHei"/>
        <sz val="10.0"/>
        <color rgb="FF000000"/>
        <b val="true"/>
      </rPr>
      <t xml:space="preserve">人员</t>
    </r>
    <phoneticPr fontId="1" type="noConversion"/>
  </si>
  <si>
    <r>
      <rPr>
        <rFont val="Microsoft YaHei"/>
        <sz val="10.0"/>
        <color rgb="FF000000"/>
        <b val="true"/>
      </rPr>
      <t xml:space="preserve">进度</t>
    </r>
    <phoneticPr fontId="1" type="noConversion"/>
  </si>
  <si>
    <r>
      <rPr>
        <rFont val="Microsoft YaHei Light"/>
        <sz val="10.0"/>
        <color rgb="FF000000"/>
        <b val="true"/>
      </rPr>
      <t xml:space="preserve">开始日期</t>
    </r>
    <phoneticPr fontId="1" type="noConversion"/>
  </si>
  <si>
    <r>
      <rPr>
        <rFont val="Microsoft YaHei Light"/>
        <sz val="10.0"/>
        <color rgb="FF000000"/>
        <b val="true"/>
      </rPr>
      <t xml:space="preserve">结束日期</t>
    </r>
    <phoneticPr fontId="1" type="noConversion"/>
  </si>
  <si>
    <r>
      <rPr>
        <rFont val="Microsoft YaHei"/>
        <sz val="10.0"/>
        <color rgb="FF000000"/>
        <b val="true"/>
      </rPr>
      <t xml:space="preserve">人天</t>
    </r>
    <phoneticPr fontId="1" type="noConversion"/>
  </si>
  <si>
    <r>
      <rPr>
        <rFont val="Microsoft YaHei"/>
        <sz val="10.0"/>
        <color rgb="FF000000"/>
        <b val="true"/>
      </rPr>
      <t xml:space="preserve">人员</t>
    </r>
    <phoneticPr fontId="1" type="noConversion"/>
  </si>
  <si>
    <r>
      <rPr>
        <rFont val="Microsoft YaHei Light"/>
        <sz val="10.0"/>
        <color rgb="FF000000"/>
        <b val="true"/>
      </rPr>
      <t xml:space="preserve">开始日期</t>
    </r>
    <phoneticPr fontId="1" type="noConversion"/>
  </si>
  <si>
    <r>
      <rPr>
        <rFont val="Microsoft YaHei Light"/>
        <sz val="10.0"/>
        <color rgb="FF000000"/>
        <b val="true"/>
      </rPr>
      <t xml:space="preserve">结束日期</t>
    </r>
    <phoneticPr fontId="1" type="noConversion"/>
  </si>
  <si>
    <r>
      <rPr>
        <rFont val="Microsoft YaHei"/>
        <sz val="10.0"/>
        <color rgb="FF000000"/>
        <b val="true"/>
      </rPr>
      <t xml:space="preserve">人员</t>
    </r>
    <phoneticPr fontId="1" type="noConversion"/>
  </si>
  <si>
    <r>
      <rPr>
        <rFont val="Microsoft YaHei"/>
        <sz val="10.0"/>
        <color rgb="FF000000"/>
        <b val="true"/>
      </rPr>
      <t xml:space="preserve">进度</t>
    </r>
    <phoneticPr fontId="1" type="noConversion"/>
  </si>
  <si>
    <r>
      <rPr>
        <rFont val="Microsoft YaHei"/>
        <sz val="10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</si>
  <si>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</si>
  <si>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Microsoft YaHei"/>
        <sz val="10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</si>
  <si>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</si>
  <si>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Microsoft YaHei"/>
        <sz val="10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</si>
  <si>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</si>
  <si>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Microsoft YaHei"/>
        <sz val="10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</si>
  <si>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</si>
  <si>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Microsoft YaHei"/>
        <sz val="10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</si>
  <si>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</si>
  <si>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Microsoft YaHei"/>
        <sz val="10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</si>
  <si>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</si>
  <si>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Microsoft YaHei"/>
        <sz val="10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</si>
  <si>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</si>
  <si>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Microsoft YaHei"/>
        <sz val="10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</si>
  <si>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</si>
  <si>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Microsoft YaHei"/>
        <sz val="10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</si>
  <si>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</si>
  <si>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Microsoft YaHei"/>
        <sz val="10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</si>
  <si>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</si>
  <si>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Microsoft YaHei"/>
        <sz val="10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</si>
  <si>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</si>
  <si>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Microsoft YaHei"/>
        <sz val="10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</si>
  <si>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</si>
  <si>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微软雅黑"/>
        <sz val="9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</si>
  <si>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</si>
  <si>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微软雅黑"/>
        <sz val="9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</si>
  <si>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</si>
  <si>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Microsoft YaHei"/>
        <sz val="10.0"/>
        <color rgb="FF000000"/>
        <b val="true"/>
      </rPr>
      <t xml:space="preserve">进行中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</si>
  <si>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</si>
  <si>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Microsoft YaHei"/>
        <sz val="10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</si>
  <si>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</si>
  <si>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Microsoft YaHei"/>
        <sz val="10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</si>
  <si>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</si>
  <si>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Microsoft YaHei"/>
        <sz val="10.0"/>
        <color rgb="FF000000"/>
        <b val="true"/>
      </rPr>
      <t xml:space="preserve">已完成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</si>
  <si>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</si>
  <si>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Microsoft YaHei"/>
        <sz val="10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</si>
  <si>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</si>
  <si>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Microsoft YaHei"/>
        <sz val="10.0"/>
        <color rgb="FF000000"/>
        <b val="true"/>
      </rPr>
      <t xml:space="preserve">待启动</t>
    </r>
    <phoneticPr fontId="1" type="noConversion"/>
  </si>
  <si>
    <r>
      <rPr>
        <rFont val="微软雅黑"/>
        <sz val="9.0"/>
        <color rgb="FF000000"/>
        <b val="true"/>
      </rPr>
      <t xml:space="preserve">进度正常</t>
    </r>
    <phoneticPr fontId="1" type="noConversion"/>
  </si>
  <si>
    <r>
      <rPr>
        <rFont val="微软雅黑"/>
        <sz val="10.0"/>
        <color rgb="FFFF0000"/>
        <b val="true"/>
      </rPr>
      <t xml:space="preserve">分支名统一：putongjm-onlinepay</t>
    </r>
    <phoneticPr fontId="1" type="noConversion"/>
  </si>
  <si>
    <r>
      <rPr>
        <rFont val="微软雅黑"/>
        <sz val="10.0"/>
        <color rgb="FF000000"/>
        <b val="true"/>
      </rPr>
      <t xml:space="preserve">序号</t>
    </r>
    <phoneticPr fontId="1" type="noConversion"/>
  </si>
  <si>
    <r>
      <rPr>
        <rFont val="微软雅黑"/>
        <sz val="10.0"/>
        <color rgb="FF000000"/>
        <b val="true"/>
      </rPr>
      <t xml:space="preserve">项目类型</t>
    </r>
    <phoneticPr fontId="1" type="noConversion"/>
  </si>
  <si>
    <r>
      <rPr>
        <rFont val="微软雅黑"/>
        <sz val="10.0"/>
        <color rgb="FF000000"/>
        <b val="true"/>
      </rPr>
      <t xml:space="preserve">项目名称</t>
    </r>
    <phoneticPr fontId="1" type="noConversion"/>
  </si>
  <si>
    <r>
      <rPr>
        <rFont val="微软雅黑"/>
        <sz val="10.0"/>
        <color rgb="FF000000"/>
        <b val="true"/>
      </rPr>
      <t xml:space="preserve">项目备注</t>
    </r>
    <phoneticPr fontId="1" type="noConversion"/>
  </si>
  <si>
    <r>
      <rPr>
        <rFont val="微软雅黑"/>
        <sz val="10.0"/>
        <color rgb="FF000000"/>
        <b val="true"/>
      </rPr>
      <t xml:space="preserve">拉取分支</t>
    </r>
    <r>
      <rPr>
        <rFont val="微软雅黑"/>
        <sz val="10.0"/>
        <color rgb="FF000000"/>
      </rPr>
      <t xml:space="preserve">
</t>
    </r>
    <r>
      <rPr>
        <rFont val="微软雅黑"/>
        <sz val="10.0"/>
        <color rgb="FF000000"/>
        <b val="true"/>
      </rPr>
      <t xml:space="preserve">（环境准备）</t>
    </r>
    <phoneticPr fontId="1" type="noConversion"/>
  </si>
  <si>
    <r>
      <rPr>
        <rFont val="微软雅黑"/>
        <sz val="10.0"/>
        <color rgb="FF000000"/>
        <b val="true"/>
      </rPr>
      <t xml:space="preserve">合并进度</t>
    </r>
    <r>
      <rPr>
        <rFont val="微软雅黑"/>
        <sz val="10.0"/>
        <color rgb="FF000000"/>
      </rPr>
      <t xml:space="preserve">
</t>
    </r>
    <r>
      <rPr>
        <rFont val="微软雅黑"/>
        <sz val="10.0"/>
        <color rgb="FF000000"/>
        <b val="true"/>
      </rPr>
      <t xml:space="preserve">（联调测试）</t>
    </r>
    <r>
      <rPr>
        <rFont val="微软雅黑"/>
        <sz val="10.0"/>
        <color rgb="FF000000"/>
      </rPr>
      <t xml:space="preserve">
</t>
    </r>
    <r>
      <rPr>
        <rFont val="微软雅黑"/>
        <sz val="10.0"/>
        <color rgb="FF000000"/>
        <b val="true"/>
      </rPr>
      <t xml:space="preserve">（jiameng</t>
    </r>
    <r>
      <rPr>
        <rFont val="微软雅黑"/>
        <sz val="10.0"/>
        <color rgb="FF000000"/>
      </rPr>
      <t xml:space="preserve">环境</t>
    </r>
    <r>
      <rPr>
        <rFont val="微软雅黑"/>
        <sz val="10.0"/>
        <color rgb="FF000000"/>
        <b val="true"/>
      </rPr>
      <t xml:space="preserve">）</t>
    </r>
    <phoneticPr fontId="1" type="noConversion"/>
  </si>
  <si>
    <r>
      <rPr>
        <rFont val="微软雅黑"/>
        <sz val="10.0"/>
        <color rgb="FF000000"/>
        <b val="true"/>
      </rPr>
      <t xml:space="preserve">合并进度</t>
    </r>
    <r>
      <rPr>
        <rFont val="微软雅黑"/>
        <sz val="10.0"/>
        <color rgb="FF000000"/>
      </rPr>
      <t xml:space="preserve">
</t>
    </r>
    <r>
      <rPr>
        <rFont val="微软雅黑"/>
        <sz val="10.0"/>
        <color rgb="FF000000"/>
        <b val="true"/>
      </rPr>
      <t xml:space="preserve">（联调测试）</t>
    </r>
    <r>
      <rPr>
        <rFont val="微软雅黑"/>
        <sz val="10.0"/>
        <color rgb="FF000000"/>
      </rPr>
      <t xml:space="preserve">
</t>
    </r>
    <r>
      <rPr>
        <rFont val="微软雅黑"/>
        <sz val="10.0"/>
        <color rgb="FF000000"/>
        <b val="true"/>
      </rPr>
      <t xml:space="preserve">（beta</t>
    </r>
    <r>
      <rPr>
        <rFont val="微软雅黑"/>
        <sz val="10.0"/>
        <color rgb="FF000000"/>
      </rPr>
      <t xml:space="preserve">环境</t>
    </r>
    <r>
      <rPr>
        <rFont val="微软雅黑"/>
        <sz val="10.0"/>
        <color rgb="FF000000"/>
        <b val="true"/>
      </rPr>
      <t xml:space="preserve">）</t>
    </r>
    <phoneticPr fontId="1" type="noConversion"/>
  </si>
  <si>
    <r>
      <rPr>
        <rFont val="微软雅黑"/>
        <sz val="10.0"/>
        <color rgb="FF000000"/>
        <b val="true"/>
      </rPr>
      <t xml:space="preserve">合并进度</t>
    </r>
    <r>
      <rPr>
        <rFont val="微软雅黑"/>
        <sz val="10.0"/>
        <color rgb="FF000000"/>
      </rPr>
      <t xml:space="preserve">
</t>
    </r>
    <r>
      <rPr>
        <rFont val="微软雅黑"/>
        <sz val="10.0"/>
        <color rgb="FF000000"/>
        <b val="true"/>
      </rPr>
      <t xml:space="preserve">（上线测试）</t>
    </r>
    <phoneticPr fontId="1" type="noConversion"/>
  </si>
  <si>
    <r>
      <rPr>
        <rFont val="微软雅黑"/>
        <sz val="10.0"/>
        <color rgb="FF000000"/>
        <b val="true"/>
      </rPr>
      <t xml:space="preserve">beta发布状态</t>
    </r>
    <phoneticPr fontId="1" type="noConversion"/>
  </si>
  <si>
    <r>
      <rPr>
        <rFont val="微软雅黑"/>
        <sz val="10.0"/>
        <color rgb="FF000000"/>
        <b val="true"/>
      </rPr>
      <t xml:space="preserve">uat发布状态</t>
    </r>
    <phoneticPr fontId="1" type="noConversion"/>
  </si>
  <si>
    <r>
      <rPr>
        <rFont val="微软雅黑"/>
        <sz val="10.0"/>
        <color rgb="FF000000"/>
        <b val="true"/>
      </rPr>
      <t xml:space="preserve">备注</t>
    </r>
    <phoneticPr fontId="1" type="noConversion"/>
  </si>
  <si>
    <r>
      <rPr>
        <rFont val="微软雅黑"/>
        <sz val="10.0"/>
        <color rgb="FF000000"/>
        <b val="true"/>
      </rPr>
      <t xml:space="preserve">加盟</t>
    </r>
    <phoneticPr fontId="1" type="noConversion"/>
  </si>
  <si>
    <r>
      <rPr>
        <rFont val="微软雅黑"/>
        <sz val="10.0"/>
        <color rgb="FF000000"/>
        <b val="true"/>
      </rPr>
      <t xml:space="preserve">BETA</t>
    </r>
    <phoneticPr fontId="1" type="noConversion"/>
  </si>
  <si>
    <r>
      <rPr>
        <rFont val="微软雅黑"/>
        <sz val="10.0"/>
        <color rgb="FF000000"/>
        <b val="true"/>
      </rPr>
      <t xml:space="preserve">库名</t>
    </r>
    <phoneticPr fontId="1" type="noConversion"/>
  </si>
  <si>
    <r>
      <rPr>
        <rFont val="微软雅黑"/>
        <sz val="10.0"/>
        <color rgb="FF000000"/>
        <b val="true"/>
      </rPr>
      <t xml:space="preserve">结构同步</t>
    </r>
    <phoneticPr fontId="1" type="noConversion"/>
  </si>
  <si>
    <r>
      <rPr>
        <rFont val="微软雅黑"/>
        <sz val="10.0"/>
        <color rgb="FF000000"/>
        <b val="true"/>
      </rPr>
      <t xml:space="preserve">数据同步</t>
    </r>
    <phoneticPr fontId="1" type="noConversion"/>
  </si>
  <si>
    <r>
      <rPr>
        <rFont val="微软雅黑"/>
        <sz val="10.0"/>
        <color rgb="FF000000"/>
        <b val="true"/>
      </rPr>
      <t xml:space="preserve">备注</t>
    </r>
    <phoneticPr fontId="1" type="noConversion"/>
  </si>
  <si>
    <r>
      <rPr>
        <rFont val="微软雅黑"/>
        <sz val="10.0"/>
        <color rgb="FF000000"/>
        <b val="true"/>
      </rPr>
      <t xml:space="preserve">库名</t>
    </r>
    <phoneticPr fontId="1" type="noConversion"/>
  </si>
  <si>
    <r>
      <rPr>
        <rFont val="微软雅黑"/>
        <sz val="10.0"/>
        <color rgb="FF000000"/>
        <b val="true"/>
      </rPr>
      <t xml:space="preserve">结构同步</t>
    </r>
    <phoneticPr fontId="1" type="noConversion"/>
  </si>
  <si>
    <r>
      <rPr>
        <rFont val="微软雅黑"/>
        <sz val="10.0"/>
        <color rgb="FF000000"/>
        <b val="true"/>
      </rPr>
      <t xml:space="preserve">数据同步</t>
    </r>
    <phoneticPr fontId="1" type="noConversion"/>
  </si>
  <si>
    <r>
      <rPr>
        <rFont val="微软雅黑"/>
        <sz val="10.0"/>
        <color rgb="FF000000"/>
        <b val="true"/>
      </rPr>
      <t xml:space="preserve">备注</t>
    </r>
    <phoneticPr fontId="1" type="noConversion"/>
  </si>
</sst>
</file>

<file path=xl/styles.xml><?xml version="1.0" encoding="utf-8"?>
<styleSheet xmlns="http://schemas.openxmlformats.org/spreadsheetml/2006/main">
  <numFmts count="6">
    <numFmt numFmtId="164" formatCode="yyyy&quot;年&quot;m&quot;月&quot;d&quot;日&quot;;@"/>
    <numFmt numFmtId="165" formatCode="0.0_);[Red](0.0)"/>
    <numFmt numFmtId="166" formatCode="m&quot;月&quot;d&quot;日&quot;;@"/>
    <numFmt numFmtId="167" formatCode="0_);[Red](0)"/>
    <numFmt numFmtId="168" formatCode="yyyy/m/d"/>
    <numFmt numFmtId="169" formatCode="#,##0.00_ "/>
  </numFmts>
  <fonts count="21">
    <font>
      <sz val="11.0"/>
      <color indexed="8"/>
      <name val="Calibri"/>
      <family val="2"/>
      <scheme val="minor"/>
    </font>
    <font>
      <name val="Microsoft YaHei"/>
      <sz val="14.0"/>
      <color rgb="000000"/>
      <b val="true"/>
    </font>
    <font>
      <name val="微软雅黑"/>
      <sz val="10.0"/>
    </font>
    <font>
      <name val="Microsoft YaHei"/>
      <sz val="10.0"/>
      <color rgb="FFFFFF"/>
      <b val="true"/>
    </font>
    <font>
      <name val="Microsoft YaHei"/>
      <sz val="10.0"/>
      <color rgb="000000"/>
      <b val="true"/>
    </font>
    <font>
      <name val="Microsoft YaHei"/>
      <sz val="10.0"/>
      <color rgb="000000"/>
    </font>
    <font>
      <name val="Microsoft YaHei"/>
      <sz val="10.0"/>
      <color rgb="000000"/>
    </font>
    <font>
      <name val="Microsoft YaHei"/>
      <sz val="10.0"/>
    </font>
    <font>
      <name val="Microsoft YaHei"/>
      <sz val="10.0"/>
      <b val="true"/>
    </font>
    <font>
      <name val="微软雅黑"/>
      <sz val="10.0"/>
      <color rgb="000000"/>
    </font>
    <font>
      <name val="Microsoft YaHei"/>
      <sz val="10.0"/>
      <color rgb="FF0000"/>
      <b val="true"/>
    </font>
    <font>
      <name val="微软雅黑"/>
      <sz val="12.0"/>
      <color rgb="000000"/>
      <b val="true"/>
    </font>
    <font>
      <name val="微软雅黑"/>
      <sz val="10.0"/>
      <color rgb="000000"/>
      <b val="true"/>
    </font>
    <font>
      <name val="Microsoft YaHei Light"/>
      <sz val="10.0"/>
      <color rgb="000000"/>
      <b val="true"/>
    </font>
    <font>
      <name val="微软雅黑"/>
      <sz val="10.0"/>
      <color rgb="000000"/>
    </font>
    <font>
      <name val="微软雅黑"/>
      <sz val="10.0"/>
      <color rgb="FFFFFF"/>
      <b val="true"/>
    </font>
    <font>
      <name val="微软雅黑"/>
      <sz val="9.0"/>
      <color rgb="000000"/>
    </font>
    <font>
      <name val="微软雅黑"/>
      <sz val="9.0"/>
      <color rgb="000000"/>
      <b val="true"/>
    </font>
    <font>
      <name val="微软雅黑"/>
      <sz val="10.0"/>
      <color rgb="FF0000"/>
      <b val="true"/>
    </font>
    <font>
      <name val="Helvetica Neue"/>
      <sz val="10.0"/>
      <color rgb="000000"/>
    </font>
    <font>
      <name val="微软雅黑"/>
      <sz val="9.0"/>
    </font>
  </fonts>
  <fills count="17">
    <fill>
      <patternFill patternType="none"/>
    </fill>
    <fill>
      <patternFill patternType="darkGray"/>
    </fill>
    <fill>
      <patternFill/>
    </fill>
    <fill>
      <patternFill patternType="solid"/>
    </fill>
    <fill>
      <patternFill patternType="solid">
        <fgColor rgb="F88825"/>
      </patternFill>
    </fill>
    <fill>
      <patternFill patternType="solid">
        <fgColor rgb="00B0F0"/>
      </patternFill>
    </fill>
    <fill>
      <patternFill patternType="solid">
        <fgColor rgb="92D050"/>
      </patternFill>
    </fill>
    <fill>
      <patternFill patternType="solid">
        <fgColor rgb="FFC000"/>
      </patternFill>
    </fill>
    <fill>
      <patternFill patternType="solid">
        <fgColor rgb="F4C243"/>
      </patternFill>
    </fill>
    <fill>
      <patternFill patternType="solid">
        <fgColor rgb="A1CE63"/>
      </patternFill>
    </fill>
    <fill>
      <patternFill patternType="solid">
        <fgColor rgb="A5A5A5"/>
      </patternFill>
    </fill>
    <fill>
      <patternFill patternType="solid">
        <fgColor rgb="FFB700"/>
      </patternFill>
    </fill>
    <fill>
      <patternFill patternType="solid">
        <fgColor rgb="ED7D31"/>
      </patternFill>
    </fill>
    <fill>
      <patternFill patternType="solid">
        <fgColor rgb="DEEAF6"/>
      </patternFill>
    </fill>
    <fill>
      <patternFill patternType="solid">
        <fgColor rgb="E2EEDA"/>
      </patternFill>
    </fill>
    <fill>
      <patternFill patternType="solid">
        <fgColor rgb="DFF8FF"/>
      </patternFill>
    </fill>
    <fill>
      <patternFill patternType="solid">
        <fgColor rgb="C7DCFF"/>
      </patternFill>
    </fill>
  </fills>
  <borders count="3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/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top style="thin">
        <color rgb="000000"/>
      </top>
      <bottom style="thin"/>
    </border>
    <border>
      <left style="thin"/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/>
    </border>
    <border>
      <left style="thin"/>
      <right style="thin"/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>
        <color rgb="000000"/>
      </top>
    </border>
    <border>
      <left style="thin">
        <color rgb="000000"/>
      </left>
      <right style="thin"/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top style="thin">
        <color rgb="000000"/>
      </top>
    </border>
    <border>
      <left style="thin">
        <color rgb="000000"/>
      </left>
      <top style="thin">
        <color rgb="000000"/>
      </top>
    </border>
    <border>
      <right style="thin"/>
      <top style="thin"/>
      <bottom style="thin"/>
    </border>
    <border>
      <right style="thin"/>
      <top style="thin">
        <color rgb="000000"/>
      </top>
      <bottom style="thin"/>
    </border>
    <border>
      <right style="thin"/>
      <top style="thin">
        <color rgb="000000"/>
      </top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>
      <left style="thin"/>
      <bottom style="thin">
        <color rgb="000000"/>
      </bottom>
    </border>
    <border>
      <left style="thin">
        <color rgb="000000"/>
      </left>
      <bottom style="thin">
        <color rgb="000000"/>
      </bottom>
    </border>
  </borders>
  <cellStyleXfs count="1">
    <xf numFmtId="0" fontId="0" fillId="0" borderId="0"/>
  </cellStyleXfs>
  <cellXfs count="97">
    <xf numFmtId="0" fontId="0" fillId="0" borderId="0" xfId="0"/>
    <xf numFmtId="0" fontId="1" fillId="2" borderId="8" xfId="0" applyNumberFormat="true" applyFont="true" applyFill="true" applyBorder="true">
      <alignment wrapText="true" horizontal="center" vertical="center"/>
    </xf>
    <xf numFmtId="0" fontId="2" fillId="2" borderId="8" xfId="0" applyNumberFormat="true" applyFont="true" applyFill="true" applyBorder="true">
      <alignment wrapText="false" horizontal="center" vertical="center"/>
    </xf>
    <xf numFmtId="0" fontId="0" fillId="0" borderId="0" xfId="0" applyNumberFormat="true">
      <alignment wrapText="false"/>
    </xf>
    <xf numFmtId="0" fontId="3" fillId="4" borderId="14" xfId="0" applyNumberFormat="true" applyFont="true" applyFill="true" applyBorder="true">
      <alignment wrapText="true" horizontal="center" vertical="center"/>
    </xf>
    <xf numFmtId="0" fontId="3" fillId="5" borderId="14" xfId="0" applyNumberFormat="true" applyFont="true" applyFill="true" applyBorder="true">
      <alignment wrapText="false" horizontal="center" vertical="center"/>
    </xf>
    <xf numFmtId="0" fontId="2" fillId="2" borderId="14" xfId="0" applyNumberFormat="true" applyFont="true" applyFill="true" applyBorder="true">
      <alignment wrapText="false" horizontal="center" vertical="center"/>
    </xf>
    <xf numFmtId="0" fontId="3" fillId="5" borderId="8" xfId="0" applyNumberFormat="true" applyFont="true" applyFill="true" applyBorder="true">
      <alignment wrapText="true" horizontal="center" vertical="center"/>
    </xf>
    <xf numFmtId="0" fontId="4" fillId="6" borderId="8" xfId="0" applyNumberFormat="true" applyFont="true" applyFill="true" applyBorder="true">
      <alignment wrapText="true" horizontal="center" vertical="center"/>
    </xf>
    <xf numFmtId="0" fontId="5" fillId="6" borderId="8" xfId="0" applyNumberFormat="true" applyFont="true" applyFill="true" applyBorder="true">
      <alignment wrapText="true" vertical="center"/>
    </xf>
    <xf numFmtId="0" fontId="5" fillId="6" borderId="8" xfId="0" applyNumberFormat="true" applyFont="true" applyFill="true" applyBorder="true">
      <alignment wrapText="true" horizontal="center" vertical="center"/>
    </xf>
    <xf numFmtId="9" fontId="5" fillId="6" borderId="8" xfId="0" applyNumberFormat="true" applyFont="true" applyFill="true" applyBorder="true">
      <alignment wrapText="true" horizontal="center" vertical="center"/>
    </xf>
    <xf numFmtId="164" fontId="5" fillId="6" borderId="8" xfId="0" applyNumberFormat="true" applyFont="true" applyFill="true" applyBorder="true">
      <alignment wrapText="true" horizontal="center" vertical="center"/>
    </xf>
    <xf numFmtId="0" fontId="4" fillId="7" borderId="8" xfId="0" applyNumberFormat="true" applyFont="true" applyFill="true" applyBorder="true">
      <alignment wrapText="true" horizontal="center" vertical="center"/>
    </xf>
    <xf numFmtId="0" fontId="5" fillId="7" borderId="8" xfId="0" applyNumberFormat="true" applyFont="true" applyFill="true" applyBorder="true">
      <alignment wrapText="true" vertical="center"/>
    </xf>
    <xf numFmtId="0" fontId="5" fillId="7" borderId="8" xfId="0" applyNumberFormat="true" applyFont="true" applyFill="true" applyBorder="true">
      <alignment wrapText="true" horizontal="center" vertical="center"/>
    </xf>
    <xf numFmtId="9" fontId="5" fillId="7" borderId="8" xfId="0" applyNumberFormat="true" applyFont="true" applyFill="true" applyBorder="true">
      <alignment wrapText="true" horizontal="center" vertical="center"/>
    </xf>
    <xf numFmtId="164" fontId="5" fillId="7" borderId="8" xfId="0" applyNumberFormat="true" applyFont="true" applyFill="true" applyBorder="true">
      <alignment wrapText="true" horizontal="center" vertical="center"/>
    </xf>
    <xf numFmtId="0" fontId="7" fillId="7" borderId="8" xfId="0" applyNumberFormat="true" applyFont="true" applyFill="true" applyBorder="true">
      <alignment wrapText="true" horizontal="center" vertical="center"/>
    </xf>
    <xf numFmtId="0" fontId="4" fillId="2" borderId="8" xfId="0" applyNumberFormat="true" applyFont="true" applyFill="true" applyBorder="true">
      <alignment wrapText="true" horizontal="center" vertical="center"/>
    </xf>
    <xf numFmtId="0" fontId="5" fillId="2" borderId="8" xfId="0" applyNumberFormat="true" applyFont="true" applyFill="true" applyBorder="true">
      <alignment wrapText="true" vertical="center"/>
    </xf>
    <xf numFmtId="0" fontId="5" fillId="2" borderId="8" xfId="0" applyNumberFormat="true" applyFont="true" applyFill="true" applyBorder="true">
      <alignment wrapText="true" horizontal="center" vertical="center"/>
    </xf>
    <xf numFmtId="9" fontId="5" fillId="2" borderId="8" xfId="0" applyNumberFormat="true" applyFont="true" applyFill="true" applyBorder="true">
      <alignment wrapText="true" horizontal="center" vertical="center"/>
    </xf>
    <xf numFmtId="164" fontId="5" fillId="2" borderId="8" xfId="0" applyNumberFormat="true" applyFont="true" applyFill="true" applyBorder="true">
      <alignment wrapText="true" horizontal="center" vertical="center"/>
    </xf>
    <xf numFmtId="0" fontId="8" fillId="2" borderId="8" xfId="0" applyNumberFormat="true" applyFont="true" applyFill="true" applyBorder="true">
      <alignment wrapText="true" horizontal="center" vertical="center"/>
    </xf>
    <xf numFmtId="0" fontId="7" fillId="2" borderId="8" xfId="0" applyNumberFormat="true" applyFont="true" applyFill="true" applyBorder="true">
      <alignment wrapText="true" vertical="center"/>
    </xf>
    <xf numFmtId="0" fontId="9" fillId="2" borderId="8" xfId="0" applyNumberFormat="true" applyFont="true" applyFill="true" applyBorder="true">
      <alignment wrapText="false" vertical="center"/>
    </xf>
    <xf numFmtId="0" fontId="2" fillId="2" borderId="8" xfId="0" applyNumberFormat="true" applyFont="true" applyFill="true" applyBorder="true">
      <alignment wrapText="false" vertical="center"/>
    </xf>
    <xf numFmtId="0" fontId="10" fillId="2" borderId="8" xfId="0" applyNumberFormat="true" applyFont="true" applyFill="true" applyBorder="true">
      <alignment wrapText="true" horizontal="center" vertical="center"/>
    </xf>
    <xf numFmtId="0" fontId="9" fillId="2" borderId="0" xfId="0" applyNumberFormat="true" applyFont="true" applyFill="true">
      <alignment wrapText="false" vertical="center"/>
    </xf>
    <xf numFmtId="0" fontId="2" fillId="2" borderId="0" xfId="0" applyNumberFormat="true" applyFont="true" applyFill="true">
      <alignment wrapText="false" vertical="center"/>
    </xf>
    <xf numFmtId="0" fontId="11" fillId="8" borderId="8" xfId="0" applyNumberFormat="true" applyFont="true" applyFill="true" applyBorder="true">
      <alignment wrapText="false" vertical="center"/>
    </xf>
    <xf numFmtId="0" fontId="11" fillId="8" borderId="0" xfId="0" applyNumberFormat="true" applyFont="true" applyFill="true">
      <alignment wrapText="false" vertical="center"/>
    </xf>
    <xf numFmtId="0" fontId="9" fillId="2" borderId="17" xfId="0" applyNumberFormat="true" applyFont="true" applyFill="true" applyBorder="true">
      <alignment wrapText="false" vertical="center"/>
    </xf>
    <xf numFmtId="0" fontId="9" fillId="2" borderId="17" xfId="0" applyNumberFormat="true" applyFont="true" applyFill="true" applyBorder="true">
      <alignment wrapText="true" vertical="center"/>
    </xf>
    <xf numFmtId="0" fontId="9" fillId="2" borderId="8" xfId="0" applyNumberFormat="true" applyFont="true" applyFill="true" applyBorder="true">
      <alignment wrapText="true" vertical="center"/>
    </xf>
    <xf numFmtId="0" fontId="2" fillId="2" borderId="17" xfId="0" applyNumberFormat="true" applyFont="true" applyFill="true" applyBorder="true">
      <alignment wrapText="true" vertical="center"/>
    </xf>
    <xf numFmtId="0" fontId="2" fillId="2" borderId="17" xfId="0" applyNumberFormat="true" applyFont="true" applyFill="true" applyBorder="true">
      <alignment wrapText="false" vertical="center"/>
    </xf>
    <xf numFmtId="0" fontId="12" fillId="9" borderId="8" xfId="0" applyNumberFormat="true" applyFont="true" applyFill="true" applyBorder="true">
      <alignment wrapText="false" vertical="center"/>
    </xf>
    <xf numFmtId="0" fontId="13" fillId="10" borderId="8" xfId="0" applyNumberFormat="true" applyFont="true" applyFill="true" applyBorder="true">
      <alignment wrapText="true" horizontal="center" vertical="center"/>
    </xf>
    <xf numFmtId="0" fontId="13" fillId="11" borderId="8" xfId="0" applyNumberFormat="true" applyFont="true" applyFill="true" applyBorder="true">
      <alignment wrapText="true" horizontal="center" vertical="center"/>
    </xf>
    <xf numFmtId="0" fontId="4" fillId="11" borderId="8" xfId="0" applyNumberFormat="true" applyFont="true" applyFill="true" applyBorder="true">
      <alignment wrapText="true" horizontal="center" vertical="center"/>
    </xf>
    <xf numFmtId="10" fontId="4" fillId="11" borderId="8" xfId="0" applyNumberFormat="true" applyFont="true" applyFill="true" applyBorder="true">
      <alignment wrapText="true" horizontal="center" vertical="center"/>
    </xf>
    <xf numFmtId="165" fontId="14" fillId="12" borderId="21" xfId="0" applyNumberFormat="true" applyFont="true" applyFill="true" applyBorder="true">
      <alignment wrapText="true" horizontal="center" vertical="center"/>
    </xf>
    <xf numFmtId="0" fontId="2" fillId="2" borderId="21" xfId="0" applyNumberFormat="true" applyFont="true" applyFill="true" applyBorder="true">
      <alignment wrapText="false" horizontal="center" vertical="center"/>
    </xf>
    <xf numFmtId="166" fontId="4" fillId="13" borderId="8" xfId="0" applyNumberFormat="true" applyFont="true" applyFill="true" applyBorder="true">
      <alignment wrapText="true" horizontal="center" vertical="center"/>
    </xf>
    <xf numFmtId="166" fontId="4" fillId="7" borderId="8" xfId="0" applyNumberFormat="true" applyFont="true" applyFill="true" applyBorder="true">
      <alignment wrapText="true" horizontal="center" vertical="center"/>
    </xf>
    <xf numFmtId="166" fontId="13" fillId="14" borderId="8" xfId="0" applyNumberFormat="true" applyFont="true" applyFill="true" applyBorder="true">
      <alignment wrapText="true" horizontal="center" vertical="center"/>
    </xf>
    <xf numFmtId="0" fontId="13" fillId="7" borderId="14" xfId="0" applyNumberFormat="true" applyFont="true" applyFill="true" applyBorder="true">
      <alignment wrapText="true" horizontal="center" vertical="center"/>
    </xf>
    <xf numFmtId="0" fontId="4" fillId="14" borderId="14" xfId="0" applyNumberFormat="true" applyFont="true" applyFill="true" applyBorder="true">
      <alignment wrapText="true" horizontal="center" vertical="center"/>
    </xf>
    <xf numFmtId="0" fontId="4" fillId="7" borderId="14" xfId="0" applyNumberFormat="true" applyFont="true" applyFill="true" applyBorder="true">
      <alignment wrapText="true" horizontal="center" vertical="center"/>
    </xf>
    <xf numFmtId="165" fontId="15" fillId="12" borderId="0" xfId="0" applyNumberFormat="true" applyFont="true" applyFill="true">
      <alignment wrapText="true" horizontal="center" vertical="center"/>
    </xf>
    <xf numFmtId="166" fontId="4" fillId="11" borderId="8" xfId="0" applyNumberFormat="true" applyFont="true" applyFill="true" applyBorder="true">
      <alignment wrapText="true" horizontal="center" vertical="center"/>
    </xf>
    <xf numFmtId="167" fontId="13" fillId="14" borderId="8" xfId="0" applyNumberFormat="true" applyFont="true" applyFill="true" applyBorder="true">
      <alignment wrapText="true" horizontal="center" vertical="center"/>
    </xf>
    <xf numFmtId="0" fontId="13" fillId="14" borderId="8" xfId="0" applyNumberFormat="true" applyFont="true" applyFill="true" applyBorder="true">
      <alignment wrapText="true" vertical="center"/>
    </xf>
    <xf numFmtId="168" fontId="13" fillId="11" borderId="8" xfId="0" applyNumberFormat="true" applyFont="true" applyFill="true" applyBorder="true">
      <alignment wrapText="true" horizontal="center" vertical="center"/>
    </xf>
    <xf numFmtId="168" fontId="4" fillId="11" borderId="8" xfId="0" applyNumberFormat="true" applyFont="true" applyFill="true" applyBorder="true">
      <alignment wrapText="true" horizontal="left" vertical="center"/>
    </xf>
    <xf numFmtId="168" fontId="13" fillId="14" borderId="8" xfId="0" applyNumberFormat="true" applyFont="true" applyFill="true" applyBorder="true">
      <alignment wrapText="true" horizontal="center" vertical="center"/>
    </xf>
    <xf numFmtId="168" fontId="4" fillId="14" borderId="8" xfId="0" applyNumberFormat="true" applyFont="true" applyFill="true" applyBorder="true">
      <alignment wrapText="true" horizontal="center" vertical="center"/>
    </xf>
    <xf numFmtId="168" fontId="4" fillId="14" borderId="8" xfId="0" applyNumberFormat="true" applyFont="true" applyFill="true" applyBorder="true">
      <alignment wrapText="true" horizontal="left" vertical="center"/>
    </xf>
    <xf numFmtId="0" fontId="16" fillId="2" borderId="8" xfId="0" applyNumberFormat="true" applyFont="true" applyFill="true" applyBorder="true">
      <alignment wrapText="false" horizontal="center" vertical="center"/>
    </xf>
    <xf numFmtId="0" fontId="9" fillId="2" borderId="8" xfId="0" applyNumberFormat="true" applyFont="true" applyFill="true" applyBorder="true">
      <alignment wrapText="false" horizontal="center" vertical="center"/>
    </xf>
    <xf numFmtId="0" fontId="4" fillId="2" borderId="8" xfId="0" applyNumberFormat="true" applyFont="true" applyFill="true" applyBorder="true">
      <alignment wrapText="false" horizontal="center" vertical="center"/>
    </xf>
    <xf numFmtId="9" fontId="16" fillId="2" borderId="8" xfId="0" applyNumberFormat="true" applyFont="true" applyFill="true" applyBorder="true">
      <alignment wrapText="false" horizontal="center" vertical="center"/>
    </xf>
    <xf numFmtId="0" fontId="17" fillId="2" borderId="8" xfId="0" applyNumberFormat="true" applyFont="true" applyFill="true" applyBorder="true">
      <alignment wrapText="false" horizontal="center" vertical="center"/>
    </xf>
    <xf numFmtId="164" fontId="14" fillId="2" borderId="8" xfId="0" applyNumberFormat="true" applyFont="true" applyFill="true" applyBorder="true">
      <alignment wrapText="false" horizontal="left" vertical="center"/>
    </xf>
    <xf numFmtId="164" fontId="9" fillId="2" borderId="8" xfId="0" applyNumberFormat="true" applyFont="true" applyFill="true" applyBorder="true">
      <alignment wrapText="false" horizontal="center" vertical="center"/>
    </xf>
    <xf numFmtId="10" fontId="9" fillId="2" borderId="8" xfId="0" applyNumberFormat="true" applyFont="true" applyFill="true" applyBorder="true">
      <alignment wrapText="false" horizontal="center" vertical="center"/>
    </xf>
    <xf numFmtId="164" fontId="14" fillId="2" borderId="17" xfId="0" applyNumberFormat="true" applyFont="true" applyFill="true" applyBorder="true">
      <alignment wrapText="false" horizontal="left" vertical="center"/>
    </xf>
    <xf numFmtId="10" fontId="14" fillId="2" borderId="8" xfId="0" applyNumberFormat="true" applyFont="true" applyFill="true" applyBorder="true">
      <alignment wrapText="false" horizontal="left" vertical="center"/>
    </xf>
    <xf numFmtId="0" fontId="9" fillId="2" borderId="26" xfId="0" applyNumberFormat="true" applyFont="true" applyFill="true" applyBorder="true">
      <alignment wrapText="false" horizontal="center" vertical="center"/>
    </xf>
    <xf numFmtId="0" fontId="2" fillId="2" borderId="21" xfId="0" applyNumberFormat="true" applyFont="true" applyFill="true" applyBorder="true">
      <alignment wrapText="false" vertical="center"/>
    </xf>
    <xf numFmtId="0" fontId="2" fillId="2" borderId="14" xfId="0" applyNumberFormat="true" applyFont="true" applyFill="true" applyBorder="true">
      <alignment wrapText="false" vertical="center"/>
    </xf>
    <xf numFmtId="169" fontId="2" fillId="2" borderId="8" xfId="0" applyNumberFormat="true" applyFont="true" applyFill="true" applyBorder="true">
      <alignment wrapText="false" horizontal="center" vertical="center"/>
    </xf>
    <xf numFmtId="0" fontId="9" fillId="2" borderId="14" xfId="0" applyNumberFormat="true" applyFont="true" applyFill="true" applyBorder="true">
      <alignment wrapText="false" horizontal="center" vertical="center"/>
    </xf>
    <xf numFmtId="0" fontId="12" fillId="15" borderId="0" xfId="0" applyNumberFormat="true" applyFont="true" applyFill="true">
      <alignment wrapText="false" horizontal="center" vertical="center"/>
    </xf>
    <xf numFmtId="0" fontId="12" fillId="15" borderId="0" xfId="0" applyNumberFormat="true" applyFont="true" applyFill="true">
      <alignment wrapText="false" vertical="center"/>
    </xf>
    <xf numFmtId="0" fontId="18" fillId="15" borderId="0" xfId="0" applyNumberFormat="true" applyFont="true" applyFill="true">
      <alignment wrapText="true" horizontal="center" vertical="center"/>
    </xf>
    <xf numFmtId="0" fontId="14" fillId="15" borderId="0" xfId="0" applyNumberFormat="true" applyFont="true" applyFill="true">
      <alignment wrapText="true" horizontal="center" vertical="center"/>
    </xf>
    <xf numFmtId="0" fontId="12" fillId="15" borderId="8" xfId="0" applyNumberFormat="true" applyFont="true" applyFill="true" applyBorder="true">
      <alignment wrapText="false" horizontal="center" vertical="center"/>
    </xf>
    <xf numFmtId="0" fontId="12" fillId="15" borderId="8" xfId="0" applyNumberFormat="true" applyFont="true" applyFill="true" applyBorder="true">
      <alignment wrapText="false" vertical="center"/>
    </xf>
    <xf numFmtId="0" fontId="9" fillId="15" borderId="17" xfId="0" applyNumberFormat="true" applyFont="true" applyFill="true" applyBorder="true">
      <alignment wrapText="true" horizontal="center" vertical="center"/>
    </xf>
    <xf numFmtId="0" fontId="12" fillId="15" borderId="17" xfId="0" applyNumberFormat="true" applyFont="true" applyFill="true" applyBorder="true">
      <alignment wrapText="false" horizontal="center" vertical="center"/>
    </xf>
    <xf numFmtId="0" fontId="16" fillId="2" borderId="17" xfId="0" applyNumberFormat="true" applyFont="true" applyFill="true" applyBorder="true">
      <alignment wrapText="false" horizontal="center" vertical="center"/>
    </xf>
    <xf numFmtId="0" fontId="9" fillId="2" borderId="17" xfId="0" applyNumberFormat="true" applyFont="true" applyFill="true" applyBorder="true">
      <alignment wrapText="false" horizontal="center" vertical="center"/>
    </xf>
    <xf numFmtId="0" fontId="9" fillId="2" borderId="26" xfId="0" applyNumberFormat="true" applyFont="true" applyFill="true" applyBorder="true">
      <alignment wrapText="false" vertical="center"/>
    </xf>
    <xf numFmtId="0" fontId="16" fillId="2" borderId="28" xfId="0" applyNumberFormat="true" applyFont="true" applyFill="true" applyBorder="true">
      <alignment wrapText="false" horizontal="center" vertical="center"/>
    </xf>
    <xf numFmtId="0" fontId="9" fillId="2" borderId="14" xfId="0" applyNumberFormat="true" applyFont="true" applyFill="true" applyBorder="true">
      <alignment wrapText="false" vertical="center"/>
    </xf>
    <xf numFmtId="0" fontId="9" fillId="2" borderId="32" xfId="0" applyNumberFormat="true" applyFont="true" applyFill="true" applyBorder="true">
      <alignment wrapText="false" horizontal="center" vertical="center"/>
    </xf>
    <xf numFmtId="0" fontId="16" fillId="2" borderId="34" xfId="0" applyNumberFormat="true" applyFont="true" applyFill="true" applyBorder="true">
      <alignment wrapText="false" horizontal="center" vertical="center"/>
    </xf>
    <xf numFmtId="0" fontId="2" fillId="2" borderId="32" xfId="0" applyNumberFormat="true" applyFont="true" applyFill="true" applyBorder="true">
      <alignment wrapText="false" horizontal="center" vertical="center"/>
    </xf>
    <xf numFmtId="0" fontId="19" fillId="2" borderId="8" xfId="0" applyNumberFormat="true" applyFont="true" applyFill="true" applyBorder="true">
      <alignment wrapText="false" vertical="center"/>
    </xf>
    <xf numFmtId="0" fontId="12" fillId="16" borderId="8" xfId="0" applyNumberFormat="true" applyFont="true" applyFill="true" applyBorder="true">
      <alignment wrapText="false" vertical="center"/>
    </xf>
    <xf numFmtId="0" fontId="12" fillId="16" borderId="0" xfId="0" applyNumberFormat="true" applyFont="true" applyFill="true">
      <alignment wrapText="false" horizontal="center" vertical="center"/>
    </xf>
    <xf numFmtId="0" fontId="12" fillId="16" borderId="8" xfId="0" applyNumberFormat="true" applyFont="true" applyFill="true" applyBorder="true">
      <alignment wrapText="false" horizontal="center" vertical="center"/>
    </xf>
    <xf numFmtId="0" fontId="20" fillId="2" borderId="8" xfId="0" applyNumberFormat="true" applyFont="true" applyFill="true" applyBorder="true">
      <alignment wrapText="false" horizontal="center" vertical="center"/>
    </xf>
    <xf numFmtId="0" fontId="14" fillId="2" borderId="0" xfId="0" applyNumberFormat="true" applyFont="true" applyFill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Target="sharedStrings.xml" Type="http://schemas.openxmlformats.org/officeDocument/2006/relationships/sharedStrings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theme/theme1.xml" Type="http://schemas.openxmlformats.org/officeDocument/2006/relationships/theme" Id="rId8"/></Relationships>
</file>

<file path=xl/theme/theme1.xml><?xml version="1.0" encoding="utf-8"?>
<a:theme xmlns:w="http://schemas.openxmlformats.org/wordprocessingml/2006/main" xmlns:r="http://schemas.openxmlformats.org/officeDocument/2006/relationships" xmlns:m="http://schemas.openxmlformats.org/officeDocument/2006/math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w15="http://schemas.microsoft.com/office/word/2012/wordml" xmlns:mc="http://schemas.openxmlformats.org/markup-compatibility/2006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v="urn:schemas-microsoft-com:vml" xmlns:o="urn:schemas-microsoft-com:office:office" xmlns:xvml="urn:schemas-microsoft-com:office:excel" xmlns:w10="urn:schemas-microsoft-com:office:word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16se="http://schemas.microsoft.com/office/word/2015/wordml/symex" xmlns:w16cid="http://schemas.microsoft.com/office/word/2016/wordml/cid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tabSelected="true" workbookViewId="0"/>
  </sheetViews>
  <cols>
    <col min="1" max="1" width="14.0" hidden="false" customWidth="true"/>
    <col min="2" max="2" width="33.0" hidden="false" customWidth="true"/>
    <col min="3" max="3" width="14.0" hidden="false" customWidth="true"/>
    <col min="4" max="4" width="14.0" hidden="false" customWidth="true"/>
    <col min="5" max="5" width="14.0" hidden="false" customWidth="true"/>
    <col min="6" max="6" width="16.0" hidden="false" customWidth="true"/>
    <col min="7" max="7" width="16.0" hidden="false" customWidth="true"/>
    <col min="8" max="8" width="14.0" hidden="false" customWidth="true"/>
    <col min="9" max="9" width="14.0" hidden="false" customWidth="true"/>
    <col min="10" max="10" width="24.0" hidden="false" customWidth="true"/>
    <col min="11" max="11" width="19.0" hidden="false" customWidth="true"/>
    <col min="12" max="12" width="14.0" hidden="false" customWidth="true"/>
    <col min="13" max="13" width="14.0" hidden="false" customWidth="true"/>
    <col min="14" max="14" width="14.0" hidden="false" customWidth="true"/>
    <col min="15" max="15" width="14.0" hidden="false" customWidth="true"/>
    <col min="16" max="16" width="14.0" hidden="false" customWidth="true"/>
    <col min="17" max="17" width="14.0" hidden="false" customWidth="true"/>
    <col min="18" max="18" width="14.0" hidden="false" customWidth="true"/>
    <col min="19" max="19" width="14.0" hidden="false" customWidth="true"/>
    <col min="20" max="20" width="14.0" hidden="false" customWidth="true"/>
    <col min="21" max="21" width="14.0" hidden="false" customWidth="true"/>
    <col min="22" max="22" width="14.0" hidden="false" customWidth="true"/>
    <col min="23" max="23" width="14.0" hidden="false" customWidth="true"/>
    <col min="24" max="24" width="14.0" hidden="false" customWidth="true"/>
    <col min="25" max="25" width="14.0" hidden="false" customWidth="true"/>
    <col min="26" max="26" width="14.0" hidden="false" customWidth="true"/>
  </cols>
  <sheetData>
    <row r="1">
      <c r="A1" s="1" t="s">
        <v>228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229</v>
      </c>
      <c r="B2" s="4" t="s">
        <v>230</v>
      </c>
      <c r="C2" s="5" t="s">
        <v>231</v>
      </c>
      <c r="D2" s="6"/>
      <c r="E2" s="6"/>
      <c r="F2" s="6"/>
      <c r="G2" s="6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/>
      <c r="B3" s="6"/>
      <c r="C3" s="7" t="s">
        <v>232</v>
      </c>
      <c r="D3" s="7" t="s">
        <v>233</v>
      </c>
      <c r="E3" s="7" t="s">
        <v>234</v>
      </c>
      <c r="F3" s="7" t="s">
        <v>235</v>
      </c>
      <c r="G3" s="7" t="s">
        <v>236</v>
      </c>
      <c r="H3" s="7" t="s">
        <v>237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238</v>
      </c>
      <c r="B4" s="9" t="s">
        <v>0</v>
      </c>
      <c r="C4" s="10" t="s">
        <v>1</v>
      </c>
      <c r="D4" s="11" t="n">
        <v>1.0</v>
      </c>
      <c r="E4" s="10" t="s">
        <v>2</v>
      </c>
      <c r="F4" s="12" t="n">
        <v>45110.0</v>
      </c>
      <c r="G4" s="12" t="n">
        <v>45114.0</v>
      </c>
      <c r="H4" s="10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 t="s">
        <v>239</v>
      </c>
      <c r="B5" s="14" t="s">
        <v>3</v>
      </c>
      <c r="C5" s="15" t="s">
        <v>4</v>
      </c>
      <c r="D5" s="16" t="n">
        <v>0.8</v>
      </c>
      <c r="E5" s="15" t="s">
        <v>5</v>
      </c>
      <c r="F5" s="17" t="n">
        <v>45117.0</v>
      </c>
      <c r="G5" s="17" t="n">
        <v>45121.0</v>
      </c>
      <c r="H5" s="1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/>
      <c r="B6" s="14" t="s">
        <v>6</v>
      </c>
      <c r="C6" s="15" t="s">
        <v>4</v>
      </c>
      <c r="D6" s="16" t="n">
        <v>0.9</v>
      </c>
      <c r="E6" s="15" t="s">
        <v>5</v>
      </c>
      <c r="F6" s="17" t="n">
        <v>45117.0</v>
      </c>
      <c r="G6" s="17" t="n">
        <v>45128.0</v>
      </c>
      <c r="H6" s="1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9" t="s">
        <v>240</v>
      </c>
      <c r="B7" s="20" t="s">
        <v>7</v>
      </c>
      <c r="C7" s="21" t="s">
        <v>4</v>
      </c>
      <c r="D7" s="22" t="n">
        <v>0.0</v>
      </c>
      <c r="E7" s="21" t="s">
        <v>8</v>
      </c>
      <c r="F7" s="23" t="n">
        <v>45131.0</v>
      </c>
      <c r="G7" s="23" t="n">
        <v>45132.0</v>
      </c>
      <c r="H7" s="2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/>
      <c r="B8" s="20" t="s">
        <v>9</v>
      </c>
      <c r="C8" s="21" t="s">
        <v>4</v>
      </c>
      <c r="D8" s="22" t="n">
        <v>0.0</v>
      </c>
      <c r="E8" s="21" t="s">
        <v>8</v>
      </c>
      <c r="F8" s="23" t="n">
        <v>45131.0</v>
      </c>
      <c r="G8" s="23" t="n">
        <v>45149.0</v>
      </c>
      <c r="H8" s="2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9" t="s">
        <v>241</v>
      </c>
      <c r="B9" s="20" t="s">
        <v>10</v>
      </c>
      <c r="C9" s="21" t="s">
        <v>4</v>
      </c>
      <c r="D9" s="22" t="n">
        <v>0.0</v>
      </c>
      <c r="E9" s="21" t="s">
        <v>8</v>
      </c>
      <c r="F9" s="23" t="n">
        <v>45145.0</v>
      </c>
      <c r="G9" s="23" t="n">
        <v>45149.0</v>
      </c>
      <c r="H9" s="25"/>
      <c r="I9" s="3"/>
      <c r="J9" s="26" t="s">
        <v>11</v>
      </c>
      <c r="K9" s="26" t="s">
        <v>12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/>
      <c r="B10" s="20" t="s">
        <v>13</v>
      </c>
      <c r="C10" s="21" t="s">
        <v>4</v>
      </c>
      <c r="D10" s="22" t="n">
        <v>0.0</v>
      </c>
      <c r="E10" s="21" t="s">
        <v>8</v>
      </c>
      <c r="F10" s="23" t="n">
        <v>45152.0</v>
      </c>
      <c r="G10" s="23" t="n">
        <v>45156.0</v>
      </c>
      <c r="H10" s="25"/>
      <c r="I10" s="3"/>
      <c r="J10" s="27"/>
      <c r="K10" s="27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/>
      <c r="B11" s="20" t="s">
        <v>14</v>
      </c>
      <c r="C11" s="21" t="s">
        <v>4</v>
      </c>
      <c r="D11" s="22" t="n">
        <v>0.0</v>
      </c>
      <c r="E11" s="21" t="s">
        <v>8</v>
      </c>
      <c r="F11" s="23" t="n">
        <v>45159.0</v>
      </c>
      <c r="G11" s="23" t="n">
        <v>45163.0</v>
      </c>
      <c r="H11" s="19" t="s">
        <v>242</v>
      </c>
      <c r="I11" s="3"/>
      <c r="J11" s="26" t="s">
        <v>15</v>
      </c>
      <c r="K11" s="26" t="s">
        <v>16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/>
      <c r="B12" s="20" t="s">
        <v>17</v>
      </c>
      <c r="C12" s="21" t="s">
        <v>1</v>
      </c>
      <c r="D12" s="22" t="n">
        <v>0.0</v>
      </c>
      <c r="E12" s="21" t="s">
        <v>8</v>
      </c>
      <c r="F12" s="23" t="n">
        <v>45159.0</v>
      </c>
      <c r="G12" s="23" t="n">
        <v>45163.0</v>
      </c>
      <c r="H12" s="28" t="s">
        <v>243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 t="s">
        <v>244</v>
      </c>
      <c r="B13" s="20" t="s">
        <v>18</v>
      </c>
      <c r="C13" s="21" t="s">
        <v>4</v>
      </c>
      <c r="D13" s="22" t="n">
        <v>0.0</v>
      </c>
      <c r="E13" s="21" t="s">
        <v>8</v>
      </c>
      <c r="F13" s="23" t="n">
        <v>45166.0</v>
      </c>
      <c r="G13" s="23" t="n">
        <v>45169.0</v>
      </c>
      <c r="H13" s="2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/>
      <c r="B14" s="20" t="s">
        <v>19</v>
      </c>
      <c r="C14" s="21" t="s">
        <v>20</v>
      </c>
      <c r="D14" s="22" t="n">
        <v>0.0</v>
      </c>
      <c r="E14" s="21" t="s">
        <v>8</v>
      </c>
      <c r="F14" s="23" t="n">
        <v>45170.0</v>
      </c>
      <c r="G14" s="23" t="n">
        <v>45177.0</v>
      </c>
      <c r="H14" s="28" t="s">
        <v>245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/>
      <c r="B15" s="20" t="s">
        <v>21</v>
      </c>
      <c r="C15" s="21" t="s">
        <v>1</v>
      </c>
      <c r="D15" s="22" t="n">
        <v>0.0</v>
      </c>
      <c r="E15" s="21" t="s">
        <v>8</v>
      </c>
      <c r="F15" s="23" t="n">
        <v>45170.0</v>
      </c>
      <c r="G15" s="23" t="n">
        <v>45184.0</v>
      </c>
      <c r="H15" s="28" t="s">
        <v>246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/>
      <c r="B16" s="20" t="s">
        <v>22</v>
      </c>
      <c r="C16" s="21" t="s">
        <v>1</v>
      </c>
      <c r="D16" s="22" t="n">
        <v>0.0</v>
      </c>
      <c r="E16" s="21" t="s">
        <v>8</v>
      </c>
      <c r="F16" s="23" t="n">
        <v>45200.0</v>
      </c>
      <c r="G16" s="23" t="n">
        <v>45204.0</v>
      </c>
      <c r="H16" s="28" t="s">
        <v>247</v>
      </c>
      <c r="I16" s="3"/>
      <c r="J16" s="29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sheetCalcPr fullCalcOnLoad="true"/>
  <mergeCells count="8">
    <mergeCell ref="A1:H1"/>
    <mergeCell ref="B2:B3"/>
    <mergeCell ref="A2:A3"/>
    <mergeCell ref="C2:H2"/>
    <mergeCell ref="A5:A6"/>
    <mergeCell ref="A7:A8"/>
    <mergeCell ref="A9:A12"/>
    <mergeCell ref="A13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tabSelected="false" workbookViewId="0"/>
  </sheetViews>
  <cols>
    <col min="1" max="1" width="14.0" hidden="false" customWidth="true"/>
    <col min="2" max="2" width="14.0" hidden="false" customWidth="true"/>
    <col min="3" max="3" width="30.0" hidden="false" customWidth="true"/>
    <col min="4" max="4" width="14.0" hidden="false" customWidth="true"/>
    <col min="5" max="5" width="14.0" hidden="false" customWidth="true"/>
    <col min="6" max="6" width="14.0" hidden="false" customWidth="true"/>
    <col min="7" max="7" width="14.0" hidden="false" customWidth="true"/>
    <col min="8" max="8" width="14.0" hidden="false" customWidth="true"/>
    <col min="9" max="9" width="14.0" hidden="false" customWidth="true"/>
    <col min="10" max="10" width="14.0" hidden="false" customWidth="true"/>
    <col min="11" max="11" width="14.0" hidden="false" customWidth="true"/>
    <col min="12" max="12" width="14.0" hidden="false" customWidth="true"/>
    <col min="13" max="13" width="14.0" hidden="false" customWidth="true"/>
    <col min="14" max="14" width="14.0" hidden="false" customWidth="true"/>
    <col min="15" max="15" width="14.0" hidden="false" customWidth="true"/>
    <col min="16" max="16" width="14.0" hidden="false" customWidth="true"/>
    <col min="17" max="17" width="14.0" hidden="false" customWidth="true"/>
    <col min="18" max="18" width="14.0" hidden="false" customWidth="true"/>
    <col min="19" max="19" width="14.0" hidden="false" customWidth="true"/>
    <col min="20" max="20" width="14.0" hidden="false" customWidth="true"/>
    <col min="21" max="21" width="14.0" hidden="false" customWidth="true"/>
    <col min="22" max="22" width="14.0" hidden="false" customWidth="true"/>
    <col min="23" max="23" width="14.0" hidden="false" customWidth="true"/>
    <col min="24" max="24" width="14.0" hidden="false" customWidth="true"/>
    <col min="25" max="25" width="14.0" hidden="false" customWidth="true"/>
    <col min="26" max="26" width="14.0" hidden="false" customWidth="true"/>
  </cols>
  <sheetData>
    <row r="1">
      <c r="A1" s="30"/>
      <c r="B1" s="31" t="s">
        <v>248</v>
      </c>
      <c r="C1" s="31" t="s">
        <v>249</v>
      </c>
      <c r="D1" s="32" t="s">
        <v>250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6" t="s">
        <v>214</v>
      </c>
      <c r="B2" s="26" t="s">
        <v>215</v>
      </c>
      <c r="C2" s="33" t="s">
        <v>216</v>
      </c>
      <c r="D2" s="26" t="n">
        <v>3.0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6" t="s">
        <v>217</v>
      </c>
      <c r="B3" s="26" t="s">
        <v>218</v>
      </c>
      <c r="C3" s="33" t="s">
        <v>219</v>
      </c>
      <c r="D3" s="26" t="n">
        <v>4.0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6" t="s">
        <v>23</v>
      </c>
      <c r="B4" s="26" t="s">
        <v>220</v>
      </c>
      <c r="C4" s="33" t="s">
        <v>221</v>
      </c>
      <c r="D4" s="26" t="n">
        <v>5.0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6" t="s">
        <v>62</v>
      </c>
      <c r="B5" s="26" t="s">
        <v>222</v>
      </c>
      <c r="C5" s="34" t="s">
        <v>223</v>
      </c>
      <c r="D5" s="26" t="n">
        <v>4.0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6" t="s">
        <v>224</v>
      </c>
      <c r="B6" s="35" t="s">
        <v>225</v>
      </c>
      <c r="C6" s="36"/>
      <c r="D6" s="26" t="n">
        <v>1.0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6" t="s">
        <v>226</v>
      </c>
      <c r="B7" s="35" t="s">
        <v>227</v>
      </c>
      <c r="C7" s="37"/>
      <c r="D7" s="26" t="n">
        <v>1.0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8" t="s">
        <v>251</v>
      </c>
      <c r="D10" s="38" t="n">
        <f>SUM(D2:D7)</f>
        <v>0.0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8" t="s">
        <v>252</v>
      </c>
      <c r="D11" s="38" t="n">
        <v>0.0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8" t="s">
        <v>253</v>
      </c>
      <c r="D12" s="38" t="n">
        <f>(D10-D11)</f>
        <v>0.0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1" t="s">
        <v>254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sheetCalcPr fullCalcOnLoad="true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tabSelected="false" workbookViewId="0">
      <pane ySplit="2.0" topLeftCell="A3" activePane="bottomLeft" state="frozen"/>
      <selection pane="bottomLeft"/>
    </sheetView>
  </sheetViews>
  <cols>
    <col min="1" max="1" width="14.0" hidden="false" customWidth="true"/>
    <col min="2" max="2" width="14.0" hidden="false" customWidth="true"/>
    <col min="3" max="3" width="25.0" hidden="false" customWidth="true"/>
    <col min="4" max="4" width="53.0" hidden="false" customWidth="true"/>
    <col min="5" max="5" width="14.0" hidden="false" customWidth="true"/>
    <col min="6" max="6" width="14.0" hidden="false" customWidth="true"/>
    <col min="7" max="7" width="14.0" hidden="false" customWidth="true"/>
    <col min="8" max="8" width="14.0" hidden="false" customWidth="true"/>
    <col min="9" max="9" width="14.0" hidden="false" customWidth="true"/>
    <col min="10" max="10" width="14.0" hidden="false" customWidth="true"/>
    <col min="11" max="11" width="14.0" hidden="false" customWidth="true"/>
    <col min="12" max="12" width="14.0" hidden="false" customWidth="true"/>
    <col min="13" max="13" width="14.0" hidden="false" customWidth="true"/>
    <col min="14" max="14" width="14.0" hidden="true" customWidth="true"/>
    <col min="15" max="15" width="14.0" hidden="true" customWidth="true"/>
    <col min="16" max="16" width="14.0" hidden="true" customWidth="true"/>
    <col min="17" max="17" width="14.0" hidden="true" customWidth="true"/>
    <col min="18" max="18" width="14.0" hidden="false" customWidth="true"/>
    <col min="19" max="19" width="14.0" hidden="false" customWidth="true"/>
    <col min="20" max="20" width="14.0" hidden="false" customWidth="true"/>
    <col min="21" max="21" width="14.0" hidden="false" customWidth="true"/>
    <col min="22" max="22" width="14.0" hidden="false" customWidth="true"/>
    <col min="23" max="23" width="14.0" hidden="false" customWidth="true"/>
    <col min="24" max="24" width="14.0" hidden="false" customWidth="true"/>
    <col min="25" max="25" width="14.0" hidden="false" customWidth="true"/>
    <col min="26" max="26" width="14.0" hidden="false" customWidth="true"/>
    <col min="27" max="27" width="14.0" hidden="false" customWidth="true"/>
    <col min="28" max="28" width="14.0" hidden="false" customWidth="true"/>
    <col min="29" max="29" width="14.0" hidden="false" customWidth="true"/>
    <col min="30" max="30" width="14.0" hidden="false" customWidth="true"/>
    <col min="31" max="31" width="14.0" hidden="false" customWidth="true"/>
    <col min="32" max="32" width="14.0" hidden="false" customWidth="true"/>
    <col min="33" max="33" width="14.0" hidden="false" customWidth="true"/>
    <col min="34" max="34" width="14.0" hidden="false" customWidth="true"/>
    <col min="35" max="35" width="14.0" hidden="false" customWidth="true"/>
    <col min="36" max="36" width="14.0" hidden="false" customWidth="true"/>
    <col min="37" max="37" width="27.0" hidden="false" customWidth="true"/>
    <col min="38" max="38" width="14.0" hidden="false" customWidth="true"/>
    <col min="39" max="39" width="14.0" hidden="false" customWidth="true"/>
    <col min="40" max="40" width="14.0" hidden="false" customWidth="true"/>
    <col min="41" max="41" width="14.0" hidden="false" customWidth="true"/>
  </cols>
  <sheetData>
    <row r="1" ht="27.75" customHeight="true">
      <c r="A1" s="39" t="s">
        <v>255</v>
      </c>
      <c r="B1" s="40" t="s">
        <v>256</v>
      </c>
      <c r="C1" s="40" t="s">
        <v>257</v>
      </c>
      <c r="D1" s="40" t="s">
        <v>258</v>
      </c>
      <c r="E1" s="41" t="s">
        <v>259</v>
      </c>
      <c r="F1" s="40" t="s">
        <v>260</v>
      </c>
      <c r="G1" s="41" t="s">
        <v>261</v>
      </c>
      <c r="H1" s="42" t="s">
        <v>262</v>
      </c>
      <c r="I1" s="41" t="s">
        <v>263</v>
      </c>
      <c r="J1" s="43" t="s">
        <v>264</v>
      </c>
      <c r="K1" s="44"/>
      <c r="L1" s="44"/>
      <c r="M1" s="44"/>
      <c r="N1" s="45" t="s">
        <v>265</v>
      </c>
      <c r="O1" s="2"/>
      <c r="P1" s="2"/>
      <c r="Q1" s="2"/>
      <c r="R1" s="45" t="s">
        <v>266</v>
      </c>
      <c r="S1" s="2"/>
      <c r="T1" s="2"/>
      <c r="U1" s="2"/>
      <c r="V1" s="46" t="s">
        <v>267</v>
      </c>
      <c r="W1" s="2"/>
      <c r="X1" s="2"/>
      <c r="Y1" s="2"/>
      <c r="Z1" s="47" t="s">
        <v>268</v>
      </c>
      <c r="AA1" s="2"/>
      <c r="AB1" s="2"/>
      <c r="AC1" s="2"/>
      <c r="AD1" s="48" t="s">
        <v>269</v>
      </c>
      <c r="AE1" s="6"/>
      <c r="AF1" s="6"/>
      <c r="AG1" s="6"/>
      <c r="AH1" s="49" t="s">
        <v>270</v>
      </c>
      <c r="AI1" s="6"/>
      <c r="AJ1" s="6"/>
      <c r="AK1" s="6"/>
      <c r="AL1" s="50" t="s">
        <v>271</v>
      </c>
      <c r="AM1" s="6"/>
      <c r="AN1" s="6"/>
      <c r="AO1" s="6"/>
    </row>
    <row r="2">
      <c r="A2" s="2"/>
      <c r="B2" s="2"/>
      <c r="C2" s="2"/>
      <c r="D2" s="2"/>
      <c r="E2" s="2"/>
      <c r="F2" s="2"/>
      <c r="G2" s="2"/>
      <c r="H2" s="2"/>
      <c r="I2" s="2"/>
      <c r="J2" s="51" t="s">
        <v>272</v>
      </c>
      <c r="K2" s="51" t="s">
        <v>273</v>
      </c>
      <c r="L2" s="51" t="s">
        <v>274</v>
      </c>
      <c r="M2" s="51" t="s">
        <v>275</v>
      </c>
      <c r="N2" s="45" t="s">
        <v>276</v>
      </c>
      <c r="O2" s="45" t="s">
        <v>277</v>
      </c>
      <c r="P2" s="45" t="s">
        <v>278</v>
      </c>
      <c r="Q2" s="45" t="s">
        <v>279</v>
      </c>
      <c r="R2" s="45" t="s">
        <v>280</v>
      </c>
      <c r="S2" s="45" t="s">
        <v>281</v>
      </c>
      <c r="T2" s="45" t="s">
        <v>282</v>
      </c>
      <c r="U2" s="45" t="s">
        <v>283</v>
      </c>
      <c r="V2" s="52" t="s">
        <v>284</v>
      </c>
      <c r="W2" s="52" t="s">
        <v>285</v>
      </c>
      <c r="X2" s="52" t="s">
        <v>286</v>
      </c>
      <c r="Y2" s="42" t="s">
        <v>287</v>
      </c>
      <c r="Z2" s="47" t="s">
        <v>288</v>
      </c>
      <c r="AA2" s="47" t="s">
        <v>289</v>
      </c>
      <c r="AB2" s="53" t="s">
        <v>290</v>
      </c>
      <c r="AC2" s="54" t="s">
        <v>291</v>
      </c>
      <c r="AD2" s="55" t="s">
        <v>292</v>
      </c>
      <c r="AE2" s="55" t="s">
        <v>293</v>
      </c>
      <c r="AF2" s="56" t="s">
        <v>294</v>
      </c>
      <c r="AG2" s="42" t="s">
        <v>295</v>
      </c>
      <c r="AH2" s="57" t="s">
        <v>296</v>
      </c>
      <c r="AI2" s="57" t="s">
        <v>297</v>
      </c>
      <c r="AJ2" s="58" t="s">
        <v>298</v>
      </c>
      <c r="AK2" s="59" t="s">
        <v>299</v>
      </c>
      <c r="AL2" s="55" t="s">
        <v>300</v>
      </c>
      <c r="AM2" s="55" t="s">
        <v>301</v>
      </c>
      <c r="AN2" s="56" t="s">
        <v>302</v>
      </c>
      <c r="AO2" s="42" t="s">
        <v>303</v>
      </c>
    </row>
    <row r="3">
      <c r="A3" s="60" t="s">
        <v>23</v>
      </c>
      <c r="B3" s="61" t="s">
        <v>24</v>
      </c>
      <c r="C3" s="26" t="s">
        <v>25</v>
      </c>
      <c r="D3" s="35" t="s">
        <v>26</v>
      </c>
      <c r="E3" s="60" t="s">
        <v>27</v>
      </c>
      <c r="F3" s="60" t="s">
        <v>28</v>
      </c>
      <c r="G3" s="62" t="s">
        <v>304</v>
      </c>
      <c r="H3" s="63" t="n">
        <v>0.0</v>
      </c>
      <c r="I3" s="64" t="s">
        <v>305</v>
      </c>
      <c r="J3" s="61" t="n">
        <v>2.0</v>
      </c>
      <c r="K3" s="61" t="n">
        <v>14.0</v>
      </c>
      <c r="L3" s="61" t="n">
        <v>15.0</v>
      </c>
      <c r="M3" s="61" t="n">
        <f>J3+K3+L3</f>
        <v>0.0</v>
      </c>
      <c r="N3" s="65"/>
      <c r="O3" s="65"/>
      <c r="P3" s="66" t="n">
        <f>O3-N3</f>
        <v>0.0</v>
      </c>
      <c r="Q3" s="26"/>
      <c r="R3" s="65" t="n">
        <v>45131.0</v>
      </c>
      <c r="S3" s="65" t="n">
        <v>45139.0</v>
      </c>
      <c r="T3" s="66" t="n">
        <f>S3-R3</f>
        <v>0.0</v>
      </c>
      <c r="U3" s="26" t="s">
        <v>29</v>
      </c>
      <c r="V3" s="65"/>
      <c r="W3" s="65"/>
      <c r="X3" s="67"/>
      <c r="Y3" s="67"/>
      <c r="Z3" s="65" t="n">
        <v>45131.0</v>
      </c>
      <c r="AA3" s="65" t="n">
        <v>45139.0</v>
      </c>
      <c r="AB3" s="66" t="n">
        <f>AA3-Z3</f>
        <v>0.0</v>
      </c>
      <c r="AC3" s="26" t="s">
        <v>30</v>
      </c>
      <c r="AD3" s="65"/>
      <c r="AE3" s="65"/>
      <c r="AF3" s="26"/>
      <c r="AG3" s="67"/>
      <c r="AH3" s="65"/>
      <c r="AI3" s="65"/>
      <c r="AJ3" s="66" t="n">
        <f>AI3-AH3</f>
        <v>0.0</v>
      </c>
      <c r="AK3" s="26"/>
      <c r="AL3" s="65"/>
      <c r="AM3" s="68"/>
      <c r="AN3" s="26"/>
      <c r="AO3" s="69"/>
    </row>
    <row r="4">
      <c r="A4" s="60" t="s">
        <v>23</v>
      </c>
      <c r="B4" s="2"/>
      <c r="C4" s="26" t="s">
        <v>31</v>
      </c>
      <c r="D4" s="35" t="s">
        <v>32</v>
      </c>
      <c r="E4" s="60" t="s">
        <v>27</v>
      </c>
      <c r="F4" s="60" t="s">
        <v>33</v>
      </c>
      <c r="G4" s="62" t="s">
        <v>306</v>
      </c>
      <c r="H4" s="63" t="n">
        <v>0.0</v>
      </c>
      <c r="I4" s="64" t="s">
        <v>307</v>
      </c>
      <c r="J4" s="61" t="n">
        <v>2.0</v>
      </c>
      <c r="K4" s="61" t="n">
        <v>6.0</v>
      </c>
      <c r="L4" s="61" t="n">
        <v>3.0</v>
      </c>
      <c r="M4" s="61" t="n">
        <f>J4+K4+L4</f>
        <v>0.0</v>
      </c>
      <c r="N4" s="65"/>
      <c r="O4" s="65"/>
      <c r="P4" s="66" t="n">
        <f>O4-N4</f>
        <v>0.0</v>
      </c>
      <c r="Q4" s="26"/>
      <c r="R4" s="65" t="n">
        <v>45140.0</v>
      </c>
      <c r="S4" s="65" t="n">
        <v>45142.0</v>
      </c>
      <c r="T4" s="66" t="n">
        <f>S4-R4</f>
        <v>0.0</v>
      </c>
      <c r="U4" s="26" t="s">
        <v>29</v>
      </c>
      <c r="V4" s="65"/>
      <c r="W4" s="65"/>
      <c r="X4" s="67"/>
      <c r="Y4" s="67"/>
      <c r="Z4" s="65" t="n">
        <v>45140.0</v>
      </c>
      <c r="AA4" s="65" t="n">
        <v>45142.0</v>
      </c>
      <c r="AB4" s="66" t="n">
        <f>AA4-Z4</f>
        <v>0.0</v>
      </c>
      <c r="AC4" s="26" t="s">
        <v>30</v>
      </c>
      <c r="AD4" s="65"/>
      <c r="AE4" s="65"/>
      <c r="AF4" s="26"/>
      <c r="AG4" s="67"/>
      <c r="AH4" s="65"/>
      <c r="AI4" s="65"/>
      <c r="AJ4" s="66" t="n">
        <f>AI4-AH4</f>
        <v>0.0</v>
      </c>
      <c r="AK4" s="26"/>
      <c r="AL4" s="65"/>
      <c r="AM4" s="68"/>
      <c r="AN4" s="26"/>
      <c r="AO4" s="69"/>
    </row>
    <row r="5">
      <c r="A5" s="60" t="s">
        <v>23</v>
      </c>
      <c r="B5" s="2"/>
      <c r="C5" s="26" t="s">
        <v>34</v>
      </c>
      <c r="D5" s="35" t="s">
        <v>35</v>
      </c>
      <c r="E5" s="60" t="s">
        <v>27</v>
      </c>
      <c r="F5" s="60" t="s">
        <v>33</v>
      </c>
      <c r="G5" s="62" t="s">
        <v>308</v>
      </c>
      <c r="H5" s="63" t="n">
        <v>0.0</v>
      </c>
      <c r="I5" s="64" t="s">
        <v>309</v>
      </c>
      <c r="J5" s="70" t="n">
        <v>1.0</v>
      </c>
      <c r="K5" s="70" t="n">
        <v>1.0</v>
      </c>
      <c r="L5" s="70" t="n">
        <v>1.0</v>
      </c>
      <c r="M5" s="61" t="n">
        <f>J5+K5+L5</f>
        <v>0.0</v>
      </c>
      <c r="N5" s="65"/>
      <c r="O5" s="65"/>
      <c r="P5" s="66" t="n">
        <f>O5-N5</f>
        <v>0.0</v>
      </c>
      <c r="Q5" s="26"/>
      <c r="R5" s="65" t="n">
        <v>45131.0</v>
      </c>
      <c r="S5" s="65" t="n">
        <v>45131.0</v>
      </c>
      <c r="T5" s="66" t="n">
        <f>S5-R5</f>
        <v>0.0</v>
      </c>
      <c r="U5" s="26" t="s">
        <v>36</v>
      </c>
      <c r="V5" s="65"/>
      <c r="W5" s="65"/>
      <c r="X5" s="67"/>
      <c r="Y5" s="67"/>
      <c r="Z5" s="65" t="n">
        <v>45131.0</v>
      </c>
      <c r="AA5" s="65" t="n">
        <v>45131.0</v>
      </c>
      <c r="AB5" s="66" t="n">
        <f>AA5-Z5</f>
        <v>0.0</v>
      </c>
      <c r="AC5" s="26" t="s">
        <v>37</v>
      </c>
      <c r="AD5" s="65"/>
      <c r="AE5" s="65"/>
      <c r="AF5" s="26"/>
      <c r="AG5" s="67"/>
      <c r="AH5" s="65"/>
      <c r="AI5" s="65"/>
      <c r="AJ5" s="66" t="n">
        <f>AI5-AH5</f>
        <v>0.0</v>
      </c>
      <c r="AK5" s="26"/>
      <c r="AL5" s="65"/>
      <c r="AM5" s="68"/>
      <c r="AN5" s="26"/>
      <c r="AO5" s="69"/>
    </row>
    <row r="6">
      <c r="A6" s="60" t="s">
        <v>23</v>
      </c>
      <c r="B6" s="70" t="s">
        <v>38</v>
      </c>
      <c r="C6" s="26" t="s">
        <v>39</v>
      </c>
      <c r="D6" s="35" t="s">
        <v>40</v>
      </c>
      <c r="E6" s="60" t="s">
        <v>27</v>
      </c>
      <c r="F6" s="60" t="s">
        <v>41</v>
      </c>
      <c r="G6" s="62" t="s">
        <v>42</v>
      </c>
      <c r="H6" s="63" t="n">
        <v>0.0</v>
      </c>
      <c r="I6" s="64" t="s">
        <v>43</v>
      </c>
      <c r="J6" s="70" t="n">
        <v>1.0</v>
      </c>
      <c r="K6" s="70" t="n">
        <v>1.0</v>
      </c>
      <c r="L6" s="70" t="n">
        <v>0.5</v>
      </c>
      <c r="M6" s="61" t="n">
        <f>J6+K6+L6</f>
        <v>0.0</v>
      </c>
      <c r="N6" s="65"/>
      <c r="O6" s="65"/>
      <c r="P6" s="66"/>
      <c r="Q6" s="26"/>
      <c r="R6" s="65" t="n">
        <v>45131.0</v>
      </c>
      <c r="S6" s="65" t="n">
        <v>45131.0</v>
      </c>
      <c r="T6" s="66"/>
      <c r="U6" s="26" t="s">
        <v>36</v>
      </c>
      <c r="V6" s="65"/>
      <c r="W6" s="65"/>
      <c r="X6" s="67"/>
      <c r="Y6" s="67"/>
      <c r="Z6" s="65" t="n">
        <v>45131.0</v>
      </c>
      <c r="AA6" s="65" t="n">
        <v>45131.0</v>
      </c>
      <c r="AB6" s="66"/>
      <c r="AC6" s="26" t="s">
        <v>37</v>
      </c>
      <c r="AD6" s="65"/>
      <c r="AE6" s="65"/>
      <c r="AF6" s="26"/>
      <c r="AG6" s="67"/>
      <c r="AH6" s="65"/>
      <c r="AI6" s="65"/>
      <c r="AJ6" s="66"/>
      <c r="AK6" s="26"/>
      <c r="AL6" s="65"/>
      <c r="AM6" s="68"/>
      <c r="AN6" s="26"/>
      <c r="AO6" s="69"/>
    </row>
    <row r="7">
      <c r="A7" s="60" t="s">
        <v>23</v>
      </c>
      <c r="B7" s="71"/>
      <c r="C7" s="26" t="s">
        <v>44</v>
      </c>
      <c r="D7" s="35" t="s">
        <v>45</v>
      </c>
      <c r="E7" s="60" t="s">
        <v>27</v>
      </c>
      <c r="F7" s="60" t="s">
        <v>33</v>
      </c>
      <c r="G7" s="62" t="s">
        <v>310</v>
      </c>
      <c r="H7" s="63" t="n">
        <v>0.0</v>
      </c>
      <c r="I7" s="64" t="s">
        <v>311</v>
      </c>
      <c r="J7" s="61" t="n">
        <v>1.0</v>
      </c>
      <c r="K7" s="61" t="n">
        <v>2.0</v>
      </c>
      <c r="L7" s="61" t="n">
        <v>1.0</v>
      </c>
      <c r="M7" s="61" t="n">
        <f>J7+K7+L7</f>
        <v>0.0</v>
      </c>
      <c r="N7" s="65"/>
      <c r="O7" s="65"/>
      <c r="P7" s="66" t="n">
        <f>O7-N7</f>
        <v>0.0</v>
      </c>
      <c r="Q7" s="26"/>
      <c r="R7" s="65" t="n">
        <v>45132.0</v>
      </c>
      <c r="S7" s="65" t="n">
        <v>45132.0</v>
      </c>
      <c r="T7" s="66" t="n">
        <f>S7-R7</f>
        <v>0.0</v>
      </c>
      <c r="U7" s="26" t="s">
        <v>36</v>
      </c>
      <c r="V7" s="65"/>
      <c r="W7" s="65"/>
      <c r="X7" s="67"/>
      <c r="Y7" s="67"/>
      <c r="Z7" s="65"/>
      <c r="AA7" s="65"/>
      <c r="AB7" s="66" t="n">
        <f>AA7-Z7</f>
        <v>0.0</v>
      </c>
      <c r="AC7" s="26"/>
      <c r="AD7" s="65"/>
      <c r="AE7" s="65"/>
      <c r="AF7" s="26"/>
      <c r="AG7" s="67"/>
      <c r="AH7" s="65"/>
      <c r="AI7" s="65"/>
      <c r="AJ7" s="66" t="n">
        <f>AI7-AH7</f>
        <v>0.0</v>
      </c>
      <c r="AK7" s="26"/>
      <c r="AL7" s="65"/>
      <c r="AM7" s="68"/>
      <c r="AN7" s="26"/>
      <c r="AO7" s="69"/>
    </row>
    <row r="8">
      <c r="A8" s="60" t="s">
        <v>23</v>
      </c>
      <c r="B8" s="71"/>
      <c r="C8" s="26" t="s">
        <v>46</v>
      </c>
      <c r="D8" s="35" t="s">
        <v>47</v>
      </c>
      <c r="E8" s="60" t="s">
        <v>27</v>
      </c>
      <c r="F8" s="60" t="s">
        <v>33</v>
      </c>
      <c r="G8" s="62" t="s">
        <v>312</v>
      </c>
      <c r="H8" s="63" t="n">
        <v>0.0</v>
      </c>
      <c r="I8" s="64" t="s">
        <v>313</v>
      </c>
      <c r="J8" s="61" t="n">
        <v>2.0</v>
      </c>
      <c r="K8" s="61" t="n">
        <v>3.0</v>
      </c>
      <c r="L8" s="61" t="n">
        <v>2.0</v>
      </c>
      <c r="M8" s="61" t="n">
        <f>J8+K8+L8</f>
        <v>0.0</v>
      </c>
      <c r="N8" s="65"/>
      <c r="O8" s="65"/>
      <c r="P8" s="66"/>
      <c r="Q8" s="26"/>
      <c r="R8" s="65" t="n">
        <v>45133.0</v>
      </c>
      <c r="S8" s="65" t="n">
        <v>45133.0</v>
      </c>
      <c r="T8" s="66"/>
      <c r="U8" s="26" t="s">
        <v>36</v>
      </c>
      <c r="V8" s="65"/>
      <c r="W8" s="65"/>
      <c r="X8" s="67"/>
      <c r="Y8" s="67"/>
      <c r="Z8" s="65"/>
      <c r="AA8" s="65"/>
      <c r="AB8" s="66"/>
      <c r="AC8" s="26"/>
      <c r="AD8" s="65"/>
      <c r="AE8" s="65"/>
      <c r="AF8" s="26"/>
      <c r="AG8" s="67"/>
      <c r="AH8" s="65"/>
      <c r="AI8" s="65"/>
      <c r="AJ8" s="66"/>
      <c r="AK8" s="26"/>
      <c r="AL8" s="65"/>
      <c r="AM8" s="68"/>
      <c r="AN8" s="26"/>
      <c r="AO8" s="69"/>
    </row>
    <row r="9">
      <c r="A9" s="60" t="s">
        <v>23</v>
      </c>
      <c r="B9" s="71"/>
      <c r="C9" s="26" t="s">
        <v>48</v>
      </c>
      <c r="D9" s="35" t="s">
        <v>49</v>
      </c>
      <c r="E9" s="60" t="s">
        <v>27</v>
      </c>
      <c r="F9" s="60" t="s">
        <v>33</v>
      </c>
      <c r="G9" s="62" t="s">
        <v>314</v>
      </c>
      <c r="H9" s="63" t="n">
        <v>0.0</v>
      </c>
      <c r="I9" s="64" t="s">
        <v>315</v>
      </c>
      <c r="J9" s="61" t="n">
        <v>2.0</v>
      </c>
      <c r="K9" s="61" t="n">
        <v>6.0</v>
      </c>
      <c r="L9" s="61" t="n">
        <v>5.0</v>
      </c>
      <c r="M9" s="61" t="n">
        <f>J9+K9+L9</f>
        <v>0.0</v>
      </c>
      <c r="N9" s="65"/>
      <c r="O9" s="65"/>
      <c r="P9" s="66"/>
      <c r="Q9" s="26"/>
      <c r="R9" s="65" t="n">
        <v>45134.0</v>
      </c>
      <c r="S9" s="65" t="n">
        <v>45135.0</v>
      </c>
      <c r="T9" s="66"/>
      <c r="U9" s="26" t="s">
        <v>36</v>
      </c>
      <c r="V9" s="65"/>
      <c r="W9" s="65"/>
      <c r="X9" s="67"/>
      <c r="Y9" s="67"/>
      <c r="Z9" s="65" t="n">
        <v>45132.0</v>
      </c>
      <c r="AA9" s="65" t="n">
        <v>45132.0</v>
      </c>
      <c r="AB9" s="66"/>
      <c r="AC9" s="26" t="s">
        <v>37</v>
      </c>
      <c r="AD9" s="65"/>
      <c r="AE9" s="65"/>
      <c r="AF9" s="26"/>
      <c r="AG9" s="67"/>
      <c r="AH9" s="65"/>
      <c r="AI9" s="65"/>
      <c r="AJ9" s="66"/>
      <c r="AK9" s="26"/>
      <c r="AL9" s="65"/>
      <c r="AM9" s="68"/>
      <c r="AN9" s="26"/>
      <c r="AO9" s="69"/>
    </row>
    <row r="10">
      <c r="A10" s="60" t="s">
        <v>23</v>
      </c>
      <c r="B10" s="71"/>
      <c r="C10" s="26" t="s">
        <v>50</v>
      </c>
      <c r="D10" s="35" t="s">
        <v>51</v>
      </c>
      <c r="E10" s="60" t="s">
        <v>27</v>
      </c>
      <c r="F10" s="60" t="s">
        <v>33</v>
      </c>
      <c r="G10" s="62" t="s">
        <v>316</v>
      </c>
      <c r="H10" s="63" t="n">
        <v>0.0</v>
      </c>
      <c r="I10" s="64" t="s">
        <v>317</v>
      </c>
      <c r="J10" s="61" t="n">
        <v>3.0</v>
      </c>
      <c r="K10" s="61" t="n">
        <v>6.0</v>
      </c>
      <c r="L10" s="61" t="n">
        <v>5.0</v>
      </c>
      <c r="M10" s="61" t="n">
        <f>J10+K10+L10</f>
        <v>0.0</v>
      </c>
      <c r="N10" s="65"/>
      <c r="O10" s="65"/>
      <c r="P10" s="66"/>
      <c r="Q10" s="26"/>
      <c r="R10" s="65" t="n">
        <v>45138.0</v>
      </c>
      <c r="S10" s="65" t="n">
        <v>45139.0</v>
      </c>
      <c r="T10" s="66"/>
      <c r="U10" s="26" t="s">
        <v>36</v>
      </c>
      <c r="V10" s="65"/>
      <c r="W10" s="65"/>
      <c r="X10" s="67"/>
      <c r="Y10" s="67"/>
      <c r="Z10" s="65" t="n">
        <v>45133.0</v>
      </c>
      <c r="AA10" s="65" t="n">
        <v>45138.0</v>
      </c>
      <c r="AB10" s="66"/>
      <c r="AC10" s="26" t="s">
        <v>37</v>
      </c>
      <c r="AD10" s="65"/>
      <c r="AE10" s="65"/>
      <c r="AF10" s="26"/>
      <c r="AG10" s="67"/>
      <c r="AH10" s="65"/>
      <c r="AI10" s="65"/>
      <c r="AJ10" s="66"/>
      <c r="AK10" s="26"/>
      <c r="AL10" s="65"/>
      <c r="AM10" s="68"/>
      <c r="AN10" s="26"/>
      <c r="AO10" s="69"/>
    </row>
    <row r="11">
      <c r="A11" s="60" t="s">
        <v>23</v>
      </c>
      <c r="B11" s="71"/>
      <c r="C11" s="26" t="s">
        <v>52</v>
      </c>
      <c r="D11" s="35" t="s">
        <v>53</v>
      </c>
      <c r="E11" s="60" t="s">
        <v>27</v>
      </c>
      <c r="F11" s="60" t="s">
        <v>33</v>
      </c>
      <c r="G11" s="62" t="s">
        <v>318</v>
      </c>
      <c r="H11" s="63" t="n">
        <v>0.0</v>
      </c>
      <c r="I11" s="64" t="s">
        <v>319</v>
      </c>
      <c r="J11" s="61" t="n">
        <v>3.0</v>
      </c>
      <c r="K11" s="61" t="n">
        <v>4.0</v>
      </c>
      <c r="L11" s="61" t="n">
        <v>2.0</v>
      </c>
      <c r="M11" s="61" t="n">
        <f>J11+K11+L11</f>
        <v>0.0</v>
      </c>
      <c r="N11" s="65"/>
      <c r="O11" s="65"/>
      <c r="P11" s="66"/>
      <c r="Q11" s="26"/>
      <c r="R11" s="65" t="n">
        <v>45140.0</v>
      </c>
      <c r="S11" s="65" t="n">
        <v>45140.0</v>
      </c>
      <c r="T11" s="66"/>
      <c r="U11" s="26" t="s">
        <v>36</v>
      </c>
      <c r="V11" s="65"/>
      <c r="W11" s="65"/>
      <c r="X11" s="67"/>
      <c r="Y11" s="67"/>
      <c r="Z11" s="65" t="n">
        <v>45139.0</v>
      </c>
      <c r="AA11" s="65" t="n">
        <v>45141.0</v>
      </c>
      <c r="AB11" s="66"/>
      <c r="AC11" s="26" t="s">
        <v>37</v>
      </c>
      <c r="AD11" s="65"/>
      <c r="AE11" s="65"/>
      <c r="AF11" s="26"/>
      <c r="AG11" s="67"/>
      <c r="AH11" s="65"/>
      <c r="AI11" s="65"/>
      <c r="AJ11" s="66"/>
      <c r="AK11" s="26"/>
      <c r="AL11" s="65"/>
      <c r="AM11" s="68"/>
      <c r="AN11" s="26"/>
      <c r="AO11" s="69"/>
    </row>
    <row r="12">
      <c r="A12" s="60" t="s">
        <v>23</v>
      </c>
      <c r="B12" s="71"/>
      <c r="C12" s="26" t="s">
        <v>54</v>
      </c>
      <c r="D12" s="35" t="s">
        <v>55</v>
      </c>
      <c r="E12" s="60" t="s">
        <v>27</v>
      </c>
      <c r="F12" s="60" t="s">
        <v>33</v>
      </c>
      <c r="G12" s="62" t="s">
        <v>42</v>
      </c>
      <c r="H12" s="63" t="n">
        <v>0.0</v>
      </c>
      <c r="I12" s="64" t="s">
        <v>43</v>
      </c>
      <c r="J12" s="61" t="n">
        <v>3.0</v>
      </c>
      <c r="K12" s="61" t="n">
        <v>6.0</v>
      </c>
      <c r="L12" s="61" t="n">
        <v>3.0</v>
      </c>
      <c r="M12" s="61" t="n">
        <f>J12+K12+L12</f>
        <v>0.0</v>
      </c>
      <c r="N12" s="65"/>
      <c r="O12" s="65"/>
      <c r="P12" s="66"/>
      <c r="Q12" s="26"/>
      <c r="R12" s="65" t="n">
        <v>45141.0</v>
      </c>
      <c r="S12" s="65" t="n">
        <v>45146.0</v>
      </c>
      <c r="T12" s="66"/>
      <c r="U12" s="26" t="s">
        <v>36</v>
      </c>
      <c r="V12" s="65"/>
      <c r="W12" s="65"/>
      <c r="X12" s="67"/>
      <c r="Y12" s="67"/>
      <c r="Z12" s="65" t="n">
        <v>45142.0</v>
      </c>
      <c r="AA12" s="65" t="n">
        <v>45146.0</v>
      </c>
      <c r="AB12" s="66"/>
      <c r="AC12" s="26" t="s">
        <v>37</v>
      </c>
      <c r="AD12" s="65"/>
      <c r="AE12" s="65"/>
      <c r="AF12" s="26"/>
      <c r="AG12" s="67"/>
      <c r="AH12" s="65"/>
      <c r="AI12" s="65"/>
      <c r="AJ12" s="66"/>
      <c r="AK12" s="26"/>
      <c r="AL12" s="65"/>
      <c r="AM12" s="68"/>
      <c r="AN12" s="26"/>
      <c r="AO12" s="69"/>
    </row>
    <row r="13" ht="27.75" customHeight="true">
      <c r="A13" s="60" t="s">
        <v>23</v>
      </c>
      <c r="B13" s="71"/>
      <c r="C13" s="26" t="s">
        <v>56</v>
      </c>
      <c r="D13" s="35" t="s">
        <v>57</v>
      </c>
      <c r="E13" s="60" t="s">
        <v>27</v>
      </c>
      <c r="F13" s="60" t="s">
        <v>33</v>
      </c>
      <c r="G13" s="62" t="s">
        <v>320</v>
      </c>
      <c r="H13" s="63" t="n">
        <v>0.0</v>
      </c>
      <c r="I13" s="64" t="s">
        <v>321</v>
      </c>
      <c r="J13" s="61" t="n">
        <v>2.0</v>
      </c>
      <c r="K13" s="61" t="n">
        <v>15.0</v>
      </c>
      <c r="L13" s="61" t="n">
        <v>10.0</v>
      </c>
      <c r="M13" s="61" t="n">
        <f>J13+K13+L13</f>
        <v>0.0</v>
      </c>
      <c r="N13" s="65"/>
      <c r="O13" s="65"/>
      <c r="P13" s="66"/>
      <c r="Q13" s="26"/>
      <c r="R13" s="65" t="n">
        <v>45145.0</v>
      </c>
      <c r="S13" s="65" t="n">
        <v>45149.0</v>
      </c>
      <c r="T13" s="66"/>
      <c r="U13" s="26" t="s">
        <v>29</v>
      </c>
      <c r="V13" s="65"/>
      <c r="W13" s="65"/>
      <c r="X13" s="67"/>
      <c r="Y13" s="67"/>
      <c r="Z13" s="65" t="n">
        <v>45145.0</v>
      </c>
      <c r="AA13" s="65" t="n">
        <v>45149.0</v>
      </c>
      <c r="AB13" s="66"/>
      <c r="AC13" s="26" t="s">
        <v>30</v>
      </c>
      <c r="AD13" s="65"/>
      <c r="AE13" s="65"/>
      <c r="AF13" s="26"/>
      <c r="AG13" s="67"/>
      <c r="AH13" s="65"/>
      <c r="AI13" s="65"/>
      <c r="AJ13" s="66"/>
      <c r="AK13" s="26"/>
      <c r="AL13" s="65"/>
      <c r="AM13" s="68"/>
      <c r="AN13" s="26"/>
      <c r="AO13" s="69"/>
    </row>
    <row r="14">
      <c r="A14" s="60" t="s">
        <v>23</v>
      </c>
      <c r="B14" s="72"/>
      <c r="C14" s="26" t="s">
        <v>58</v>
      </c>
      <c r="D14" s="35" t="s">
        <v>59</v>
      </c>
      <c r="E14" s="60" t="s">
        <v>27</v>
      </c>
      <c r="F14" s="60" t="s">
        <v>41</v>
      </c>
      <c r="G14" s="62" t="s">
        <v>322</v>
      </c>
      <c r="H14" s="63" t="n">
        <v>0.0</v>
      </c>
      <c r="I14" s="64" t="s">
        <v>323</v>
      </c>
      <c r="J14" s="61" t="n">
        <v>2.0</v>
      </c>
      <c r="K14" s="61" t="n">
        <v>6.0</v>
      </c>
      <c r="L14" s="61" t="n">
        <v>3.0</v>
      </c>
      <c r="M14" s="61" t="n">
        <f>J14+K14+L14</f>
        <v>0.0</v>
      </c>
      <c r="N14" s="65"/>
      <c r="O14" s="65"/>
      <c r="P14" s="66" t="n">
        <f>O14-N14</f>
        <v>0.0</v>
      </c>
      <c r="Q14" s="26"/>
      <c r="R14" s="65" t="n">
        <v>45147.0</v>
      </c>
      <c r="S14" s="65" t="n">
        <v>45148.0</v>
      </c>
      <c r="T14" s="66" t="n">
        <f>S14-R14</f>
        <v>0.0</v>
      </c>
      <c r="U14" s="26" t="s">
        <v>36</v>
      </c>
      <c r="V14" s="65"/>
      <c r="W14" s="65"/>
      <c r="X14" s="67"/>
      <c r="Y14" s="67"/>
      <c r="Z14" s="65" t="n">
        <v>45147.0</v>
      </c>
      <c r="AA14" s="65" t="n">
        <v>45148.0</v>
      </c>
      <c r="AB14" s="66" t="n">
        <f>AA14-Z14</f>
        <v>0.0</v>
      </c>
      <c r="AC14" s="26" t="s">
        <v>37</v>
      </c>
      <c r="AD14" s="65"/>
      <c r="AE14" s="65"/>
      <c r="AF14" s="26"/>
      <c r="AG14" s="67"/>
      <c r="AH14" s="65"/>
      <c r="AI14" s="65"/>
      <c r="AJ14" s="66" t="n">
        <f>AI14-AH14</f>
        <v>0.0</v>
      </c>
      <c r="AK14" s="26"/>
      <c r="AL14" s="65"/>
      <c r="AM14" s="68"/>
      <c r="AN14" s="26"/>
      <c r="AO14" s="69"/>
    </row>
    <row r="15">
      <c r="A15" s="60" t="s">
        <v>23</v>
      </c>
      <c r="B15" s="61" t="s">
        <v>24</v>
      </c>
      <c r="C15" s="26" t="s">
        <v>60</v>
      </c>
      <c r="D15" s="35" t="s">
        <v>61</v>
      </c>
      <c r="E15" s="60" t="s">
        <v>27</v>
      </c>
      <c r="F15" s="60" t="s">
        <v>28</v>
      </c>
      <c r="G15" s="62" t="s">
        <v>42</v>
      </c>
      <c r="H15" s="63" t="n">
        <v>0.0</v>
      </c>
      <c r="I15" s="64" t="s">
        <v>43</v>
      </c>
      <c r="J15" s="61" t="n">
        <v>1.0</v>
      </c>
      <c r="K15" s="61" t="n">
        <v>2.0</v>
      </c>
      <c r="L15" s="61" t="n">
        <v>1.0</v>
      </c>
      <c r="M15" s="61" t="n">
        <f>J15+K15+L15</f>
        <v>0.0</v>
      </c>
      <c r="N15" s="65"/>
      <c r="O15" s="65"/>
      <c r="P15" s="66"/>
      <c r="Q15" s="26"/>
      <c r="R15" s="65" t="n">
        <v>45149.0</v>
      </c>
      <c r="S15" s="65" t="n">
        <v>45149.0</v>
      </c>
      <c r="T15" s="66"/>
      <c r="U15" s="26" t="s">
        <v>36</v>
      </c>
      <c r="V15" s="65"/>
      <c r="W15" s="65"/>
      <c r="X15" s="67"/>
      <c r="Y15" s="67"/>
      <c r="Z15" s="65" t="n">
        <v>45149.0</v>
      </c>
      <c r="AA15" s="65" t="n">
        <v>45149.0</v>
      </c>
      <c r="AB15" s="66"/>
      <c r="AC15" s="26" t="s">
        <v>37</v>
      </c>
      <c r="AD15" s="65"/>
      <c r="AE15" s="65"/>
      <c r="AF15" s="26"/>
      <c r="AG15" s="67"/>
      <c r="AH15" s="65"/>
      <c r="AI15" s="65"/>
      <c r="AJ15" s="66"/>
      <c r="AK15" s="26"/>
      <c r="AL15" s="65"/>
      <c r="AM15" s="68"/>
      <c r="AN15" s="26"/>
      <c r="AO15" s="69"/>
    </row>
    <row r="16">
      <c r="A16" s="60" t="s">
        <v>62</v>
      </c>
      <c r="B16" s="61" t="s">
        <v>63</v>
      </c>
      <c r="C16" s="26" t="s">
        <v>64</v>
      </c>
      <c r="D16" s="35" t="s">
        <v>65</v>
      </c>
      <c r="E16" s="60" t="s">
        <v>27</v>
      </c>
      <c r="F16" s="60" t="s">
        <v>33</v>
      </c>
      <c r="G16" s="62" t="s">
        <v>324</v>
      </c>
      <c r="H16" s="63" t="n">
        <v>0.0</v>
      </c>
      <c r="I16" s="64" t="s">
        <v>325</v>
      </c>
      <c r="J16" s="61"/>
      <c r="K16" s="61" t="n">
        <v>6.0</v>
      </c>
      <c r="L16" s="61"/>
      <c r="M16" s="61"/>
      <c r="N16" s="65"/>
      <c r="O16" s="65"/>
      <c r="P16" s="66" t="n">
        <f>O16-N16</f>
        <v>0.0</v>
      </c>
      <c r="Q16" s="26"/>
      <c r="R16" s="65" t="n">
        <v>45131.0</v>
      </c>
      <c r="S16" s="65" t="n">
        <v>45133.0</v>
      </c>
      <c r="T16" s="66" t="n">
        <f>S16-R16</f>
        <v>0.0</v>
      </c>
      <c r="U16" s="26"/>
      <c r="V16" s="65"/>
      <c r="W16" s="65"/>
      <c r="X16" s="67"/>
      <c r="Y16" s="67"/>
      <c r="Z16" s="65" t="n">
        <v>45131.0</v>
      </c>
      <c r="AA16" s="65" t="n">
        <v>45133.0</v>
      </c>
      <c r="AB16" s="66" t="n">
        <f>AA16-Z16</f>
        <v>0.0</v>
      </c>
      <c r="AC16" s="26"/>
      <c r="AD16" s="65"/>
      <c r="AE16" s="65"/>
      <c r="AF16" s="26"/>
      <c r="AG16" s="67"/>
      <c r="AH16" s="65"/>
      <c r="AI16" s="65"/>
      <c r="AJ16" s="66" t="n">
        <f>AI16-AH16</f>
        <v>0.0</v>
      </c>
      <c r="AK16" s="26"/>
      <c r="AL16" s="65"/>
      <c r="AM16" s="68"/>
      <c r="AN16" s="26"/>
      <c r="AO16" s="69"/>
    </row>
    <row r="17">
      <c r="A17" s="60" t="s">
        <v>62</v>
      </c>
      <c r="B17" s="61" t="s">
        <v>63</v>
      </c>
      <c r="C17" s="26" t="s">
        <v>66</v>
      </c>
      <c r="D17" s="35" t="s">
        <v>67</v>
      </c>
      <c r="E17" s="60" t="s">
        <v>27</v>
      </c>
      <c r="F17" s="60" t="s">
        <v>28</v>
      </c>
      <c r="G17" s="62" t="s">
        <v>326</v>
      </c>
      <c r="H17" s="63" t="n">
        <v>0.0</v>
      </c>
      <c r="I17" s="64" t="s">
        <v>327</v>
      </c>
      <c r="J17" s="61"/>
      <c r="K17" s="61" t="n">
        <v>10.0</v>
      </c>
      <c r="L17" s="61"/>
      <c r="M17" s="61"/>
      <c r="N17" s="65"/>
      <c r="O17" s="65"/>
      <c r="P17" s="66" t="n">
        <f>O17-N17</f>
        <v>0.0</v>
      </c>
      <c r="Q17" s="26"/>
      <c r="R17" s="65" t="n">
        <v>45134.0</v>
      </c>
      <c r="S17" s="65" t="n">
        <v>45140.0</v>
      </c>
      <c r="T17" s="66" t="n">
        <f>S17-R17</f>
        <v>0.0</v>
      </c>
      <c r="U17" s="26"/>
      <c r="V17" s="65"/>
      <c r="W17" s="65"/>
      <c r="X17" s="67"/>
      <c r="Y17" s="67"/>
      <c r="Z17" s="65" t="n">
        <v>45134.0</v>
      </c>
      <c r="AA17" s="65" t="n">
        <v>45140.0</v>
      </c>
      <c r="AB17" s="66" t="n">
        <f>AA17-Z17</f>
        <v>0.0</v>
      </c>
      <c r="AC17" s="26"/>
      <c r="AD17" s="65"/>
      <c r="AE17" s="65"/>
      <c r="AF17" s="26"/>
      <c r="AG17" s="67"/>
      <c r="AH17" s="65"/>
      <c r="AI17" s="65"/>
      <c r="AJ17" s="66" t="n">
        <f>AI17-AH17</f>
        <v>0.0</v>
      </c>
      <c r="AK17" s="26"/>
      <c r="AL17" s="65"/>
      <c r="AM17" s="68"/>
      <c r="AN17" s="26"/>
      <c r="AO17" s="69"/>
    </row>
    <row r="18">
      <c r="A18" s="60" t="s">
        <v>62</v>
      </c>
      <c r="B18" s="61" t="s">
        <v>63</v>
      </c>
      <c r="C18" s="26" t="s">
        <v>68</v>
      </c>
      <c r="D18" s="35" t="s">
        <v>69</v>
      </c>
      <c r="E18" s="60" t="s">
        <v>27</v>
      </c>
      <c r="F18" s="60" t="s">
        <v>33</v>
      </c>
      <c r="G18" s="64" t="s">
        <v>328</v>
      </c>
      <c r="H18" s="63" t="n">
        <v>0.0</v>
      </c>
      <c r="I18" s="64" t="s">
        <v>329</v>
      </c>
      <c r="J18" s="2"/>
      <c r="K18" s="2" t="n">
        <v>4.0</v>
      </c>
      <c r="L18" s="2"/>
      <c r="M18" s="2"/>
      <c r="N18" s="65"/>
      <c r="O18" s="65"/>
      <c r="P18" s="73"/>
      <c r="Q18" s="26"/>
      <c r="R18" s="65" t="n">
        <v>45141.0</v>
      </c>
      <c r="S18" s="65" t="n">
        <v>45145.0</v>
      </c>
      <c r="T18" s="73"/>
      <c r="U18" s="26"/>
      <c r="V18" s="65"/>
      <c r="W18" s="65"/>
      <c r="X18" s="67"/>
      <c r="Y18" s="67"/>
      <c r="Z18" s="65" t="n">
        <v>45141.0</v>
      </c>
      <c r="AA18" s="65" t="n">
        <v>45145.0</v>
      </c>
      <c r="AB18" s="73"/>
      <c r="AC18" s="26"/>
      <c r="AD18" s="65"/>
      <c r="AE18" s="65"/>
      <c r="AF18" s="26"/>
      <c r="AG18" s="67"/>
      <c r="AH18" s="65"/>
      <c r="AI18" s="65"/>
      <c r="AJ18" s="73"/>
      <c r="AK18" s="26"/>
      <c r="AL18" s="65"/>
      <c r="AM18" s="68"/>
      <c r="AN18" s="26"/>
      <c r="AO18" s="69"/>
    </row>
    <row r="19">
      <c r="A19" s="60" t="s">
        <v>62</v>
      </c>
      <c r="B19" s="61" t="s">
        <v>63</v>
      </c>
      <c r="C19" s="26" t="s">
        <v>70</v>
      </c>
      <c r="D19" s="35" t="s">
        <v>71</v>
      </c>
      <c r="E19" s="60" t="s">
        <v>27</v>
      </c>
      <c r="F19" s="60" t="s">
        <v>28</v>
      </c>
      <c r="G19" s="64" t="s">
        <v>330</v>
      </c>
      <c r="H19" s="63" t="n">
        <v>0.0</v>
      </c>
      <c r="I19" s="64" t="s">
        <v>331</v>
      </c>
      <c r="J19" s="61"/>
      <c r="K19" s="61"/>
      <c r="L19" s="61"/>
      <c r="M19" s="61"/>
      <c r="N19" s="65"/>
      <c r="O19" s="65"/>
      <c r="P19" s="66"/>
      <c r="Q19" s="26"/>
      <c r="R19" s="65" t="n">
        <v>45146.0</v>
      </c>
      <c r="S19" s="65" t="n">
        <v>45149.0</v>
      </c>
      <c r="T19" s="66"/>
      <c r="U19" s="26"/>
      <c r="V19" s="65"/>
      <c r="W19" s="65"/>
      <c r="X19" s="67"/>
      <c r="Y19" s="67"/>
      <c r="Z19" s="65" t="n">
        <v>45146.0</v>
      </c>
      <c r="AA19" s="65" t="n">
        <v>45149.0</v>
      </c>
      <c r="AB19" s="66"/>
      <c r="AC19" s="26"/>
      <c r="AD19" s="65"/>
      <c r="AE19" s="65"/>
      <c r="AF19" s="26"/>
      <c r="AG19" s="67"/>
      <c r="AH19" s="65"/>
      <c r="AI19" s="65"/>
      <c r="AJ19" s="66"/>
      <c r="AK19" s="26"/>
      <c r="AL19" s="65"/>
      <c r="AM19" s="68"/>
      <c r="AN19" s="26"/>
      <c r="AO19" s="69"/>
    </row>
    <row r="20">
      <c r="A20" s="60" t="s">
        <v>72</v>
      </c>
      <c r="B20" s="70" t="s">
        <v>73</v>
      </c>
      <c r="C20" s="26" t="s">
        <v>74</v>
      </c>
      <c r="D20" s="35" t="s">
        <v>75</v>
      </c>
      <c r="E20" s="60" t="s">
        <v>27</v>
      </c>
      <c r="F20" s="60" t="s">
        <v>33</v>
      </c>
      <c r="G20" s="62" t="s">
        <v>332</v>
      </c>
      <c r="H20" s="63" t="n">
        <v>0.0</v>
      </c>
      <c r="I20" s="64" t="s">
        <v>333</v>
      </c>
      <c r="J20" s="61" t="n">
        <v>3.0</v>
      </c>
      <c r="K20" s="61" t="n">
        <v>12.0</v>
      </c>
      <c r="L20" s="61" t="n">
        <v>5.0</v>
      </c>
      <c r="M20" s="61"/>
      <c r="N20" s="65"/>
      <c r="O20" s="65"/>
      <c r="P20" s="66"/>
      <c r="Q20" s="26"/>
      <c r="R20" s="65" t="n">
        <v>45127.0</v>
      </c>
      <c r="S20" s="65" t="n">
        <v>45142.0</v>
      </c>
      <c r="T20" s="61" t="n">
        <v>8.0</v>
      </c>
      <c r="U20" s="26" t="s">
        <v>76</v>
      </c>
      <c r="V20" s="65" t="n">
        <v>45127.0</v>
      </c>
      <c r="W20" s="65" t="n">
        <v>45142.0</v>
      </c>
      <c r="X20" s="61" t="s">
        <v>77</v>
      </c>
      <c r="Y20" s="67" t="n">
        <v>0.5</v>
      </c>
      <c r="Z20" s="65" t="n">
        <v>45131.0</v>
      </c>
      <c r="AA20" s="65" t="n">
        <v>45142.0</v>
      </c>
      <c r="AB20" s="61" t="n">
        <v>4.0</v>
      </c>
      <c r="AC20" s="26" t="s">
        <v>78</v>
      </c>
      <c r="AD20" s="65" t="n">
        <v>45131.0</v>
      </c>
      <c r="AE20" s="65" t="n">
        <v>45142.0</v>
      </c>
      <c r="AF20" s="26" t="s">
        <v>78</v>
      </c>
      <c r="AG20" s="67" t="n">
        <v>0.2</v>
      </c>
      <c r="AH20" s="65"/>
      <c r="AI20" s="65"/>
      <c r="AJ20" s="66"/>
      <c r="AK20" s="26"/>
      <c r="AL20" s="65"/>
      <c r="AM20" s="68"/>
      <c r="AN20" s="26"/>
      <c r="AO20" s="69"/>
    </row>
    <row r="21">
      <c r="A21" s="60" t="s">
        <v>72</v>
      </c>
      <c r="B21" s="71"/>
      <c r="C21" s="26" t="s">
        <v>79</v>
      </c>
      <c r="D21" s="35" t="s">
        <v>80</v>
      </c>
      <c r="E21" s="60" t="s">
        <v>27</v>
      </c>
      <c r="F21" s="60" t="s">
        <v>33</v>
      </c>
      <c r="G21" s="62" t="s">
        <v>334</v>
      </c>
      <c r="H21" s="63" t="n">
        <v>0.0</v>
      </c>
      <c r="I21" s="64" t="s">
        <v>335</v>
      </c>
      <c r="J21" s="61" t="n">
        <v>3.0</v>
      </c>
      <c r="K21" s="61" t="n">
        <v>5.0</v>
      </c>
      <c r="L21" s="61" t="n">
        <v>2.0</v>
      </c>
      <c r="M21" s="61"/>
      <c r="N21" s="65"/>
      <c r="O21" s="65"/>
      <c r="P21" s="66" t="n">
        <f>O21-N21</f>
        <v>0.0</v>
      </c>
      <c r="Q21" s="26"/>
      <c r="R21" s="65" t="n">
        <v>45131.0</v>
      </c>
      <c r="S21" s="65" t="n">
        <v>45134.0</v>
      </c>
      <c r="T21" s="61" t="n">
        <v>4.0</v>
      </c>
      <c r="U21" s="26" t="s">
        <v>81</v>
      </c>
      <c r="V21" s="65" t="n">
        <v>45131.0</v>
      </c>
      <c r="W21" s="65" t="n">
        <v>45134.0</v>
      </c>
      <c r="X21" s="26" t="s">
        <v>81</v>
      </c>
      <c r="Y21" s="67"/>
      <c r="Z21" s="65" t="n">
        <v>45145.0</v>
      </c>
      <c r="AA21" s="65" t="n">
        <v>45145.0</v>
      </c>
      <c r="AB21" s="61" t="n">
        <v>1.0</v>
      </c>
      <c r="AC21" s="26" t="s">
        <v>78</v>
      </c>
      <c r="AD21" s="65" t="n">
        <v>45134.0</v>
      </c>
      <c r="AE21" s="65"/>
      <c r="AF21" s="26" t="s">
        <v>78</v>
      </c>
      <c r="AG21" s="67"/>
      <c r="AH21" s="65" t="n">
        <v>45145.0</v>
      </c>
      <c r="AI21" s="65" t="n">
        <v>45146.0</v>
      </c>
      <c r="AJ21" s="61" t="n">
        <v>2.0</v>
      </c>
      <c r="AK21" s="26" t="s">
        <v>82</v>
      </c>
      <c r="AL21" s="65"/>
      <c r="AM21" s="68"/>
      <c r="AN21" s="26"/>
      <c r="AO21" s="69"/>
    </row>
    <row r="22">
      <c r="A22" s="60" t="s">
        <v>72</v>
      </c>
      <c r="B22" s="72"/>
      <c r="C22" s="26" t="s">
        <v>83</v>
      </c>
      <c r="D22" s="26" t="s">
        <v>84</v>
      </c>
      <c r="E22" s="60" t="s">
        <v>27</v>
      </c>
      <c r="F22" s="60" t="s">
        <v>33</v>
      </c>
      <c r="G22" s="62" t="s">
        <v>336</v>
      </c>
      <c r="H22" s="63" t="n">
        <v>0.0</v>
      </c>
      <c r="I22" s="64" t="s">
        <v>337</v>
      </c>
      <c r="J22" s="61" t="n">
        <v>3.0</v>
      </c>
      <c r="K22" s="61" t="n">
        <v>5.0</v>
      </c>
      <c r="L22" s="61" t="n">
        <v>2.0</v>
      </c>
      <c r="M22" s="61"/>
      <c r="N22" s="65"/>
      <c r="O22" s="65"/>
      <c r="P22" s="66" t="n">
        <f>O22-N22</f>
        <v>0.0</v>
      </c>
      <c r="Q22" s="26"/>
      <c r="R22" s="65" t="n">
        <v>45135.0</v>
      </c>
      <c r="S22" s="65" t="n">
        <v>45140.0</v>
      </c>
      <c r="T22" s="61" t="n">
        <v>4.0</v>
      </c>
      <c r="U22" s="26" t="s">
        <v>81</v>
      </c>
      <c r="V22" s="65" t="n">
        <v>45135.0</v>
      </c>
      <c r="W22" s="65" t="n">
        <v>45140.0</v>
      </c>
      <c r="X22" s="26" t="s">
        <v>81</v>
      </c>
      <c r="Y22" s="67"/>
      <c r="Z22" s="65" t="n">
        <v>45146.0</v>
      </c>
      <c r="AA22" s="65" t="n">
        <v>45146.0</v>
      </c>
      <c r="AB22" s="61" t="n">
        <v>1.0</v>
      </c>
      <c r="AC22" s="26" t="s">
        <v>78</v>
      </c>
      <c r="AD22" s="65" t="n">
        <v>45141.0</v>
      </c>
      <c r="AE22" s="65"/>
      <c r="AF22" s="26" t="s">
        <v>78</v>
      </c>
      <c r="AG22" s="67"/>
      <c r="AH22" s="65" t="n">
        <v>45145.0</v>
      </c>
      <c r="AI22" s="65" t="n">
        <v>45146.0</v>
      </c>
      <c r="AJ22" s="61" t="n">
        <v>2.0</v>
      </c>
      <c r="AK22" s="26" t="s">
        <v>82</v>
      </c>
      <c r="AL22" s="65"/>
      <c r="AM22" s="68"/>
      <c r="AN22" s="26"/>
      <c r="AO22" s="69"/>
    </row>
    <row r="23">
      <c r="A23" s="60" t="s">
        <v>72</v>
      </c>
      <c r="B23" s="74" t="s">
        <v>73</v>
      </c>
      <c r="C23" s="26" t="s">
        <v>85</v>
      </c>
      <c r="D23" s="35" t="s">
        <v>86</v>
      </c>
      <c r="E23" s="60" t="s">
        <v>27</v>
      </c>
      <c r="F23" s="60" t="s">
        <v>28</v>
      </c>
      <c r="G23" s="62" t="s">
        <v>5</v>
      </c>
      <c r="H23" s="63" t="n">
        <v>0.0</v>
      </c>
      <c r="I23" s="64" t="s">
        <v>43</v>
      </c>
      <c r="J23" s="61" t="n">
        <v>3.0</v>
      </c>
      <c r="K23" s="61" t="n">
        <v>6.0</v>
      </c>
      <c r="L23" s="61" t="n">
        <v>2.0</v>
      </c>
      <c r="M23" s="61"/>
      <c r="N23" s="65"/>
      <c r="O23" s="65"/>
      <c r="P23" s="66"/>
      <c r="Q23" s="26"/>
      <c r="R23" s="65" t="n">
        <v>45131.0</v>
      </c>
      <c r="S23" s="65" t="n">
        <v>45135.0</v>
      </c>
      <c r="T23" s="61" t="n">
        <v>5.0</v>
      </c>
      <c r="U23" s="26" t="s">
        <v>87</v>
      </c>
      <c r="V23" s="65" t="n">
        <v>45131.0</v>
      </c>
      <c r="W23" s="65" t="n">
        <v>45135.0</v>
      </c>
      <c r="X23" s="67" t="s">
        <v>87</v>
      </c>
      <c r="Y23" s="67"/>
      <c r="Z23" s="65"/>
      <c r="AA23" s="65"/>
      <c r="AB23" s="61"/>
      <c r="AC23" s="26"/>
      <c r="AD23" s="65"/>
      <c r="AE23" s="65"/>
      <c r="AF23" s="26"/>
      <c r="AG23" s="67"/>
      <c r="AH23" s="65" t="n">
        <v>45138.0</v>
      </c>
      <c r="AI23" s="65" t="n">
        <v>45139.0</v>
      </c>
      <c r="AJ23" s="61" t="n">
        <v>2.0</v>
      </c>
      <c r="AK23" s="26" t="s">
        <v>88</v>
      </c>
      <c r="AL23" s="65"/>
      <c r="AM23" s="68"/>
      <c r="AN23" s="26"/>
      <c r="AO23" s="69"/>
    </row>
    <row r="24">
      <c r="A24" s="60" t="s">
        <v>72</v>
      </c>
      <c r="B24" s="74" t="s">
        <v>73</v>
      </c>
      <c r="C24" s="26" t="s">
        <v>89</v>
      </c>
      <c r="D24" s="26" t="s">
        <v>90</v>
      </c>
      <c r="E24" s="60" t="s">
        <v>27</v>
      </c>
      <c r="F24" s="60" t="s">
        <v>28</v>
      </c>
      <c r="G24" s="62" t="s">
        <v>42</v>
      </c>
      <c r="H24" s="63" t="n">
        <v>0.0</v>
      </c>
      <c r="I24" s="64" t="s">
        <v>43</v>
      </c>
      <c r="J24" s="61" t="n">
        <v>2.0</v>
      </c>
      <c r="K24" s="61" t="n">
        <v>5.0</v>
      </c>
      <c r="L24" s="61" t="n">
        <v>2.0</v>
      </c>
      <c r="M24" s="61"/>
      <c r="N24" s="65"/>
      <c r="O24" s="65"/>
      <c r="P24" s="66"/>
      <c r="Q24" s="26"/>
      <c r="R24" s="65" t="n">
        <v>45138.0</v>
      </c>
      <c r="S24" s="65" t="n">
        <v>45142.0</v>
      </c>
      <c r="T24" s="61" t="n">
        <v>5.0</v>
      </c>
      <c r="U24" s="26" t="s">
        <v>87</v>
      </c>
      <c r="V24" s="65" t="n">
        <v>45138.0</v>
      </c>
      <c r="W24" s="65" t="n">
        <v>45142.0</v>
      </c>
      <c r="X24" s="67" t="s">
        <v>87</v>
      </c>
      <c r="Y24" s="67"/>
      <c r="Z24" s="65"/>
      <c r="AA24" s="65"/>
      <c r="AB24" s="61"/>
      <c r="AC24" s="26"/>
      <c r="AD24" s="65"/>
      <c r="AE24" s="65"/>
      <c r="AF24" s="26"/>
      <c r="AG24" s="67"/>
      <c r="AH24" s="65" t="n">
        <v>45145.0</v>
      </c>
      <c r="AI24" s="65" t="n">
        <v>45146.0</v>
      </c>
      <c r="AJ24" s="61" t="n">
        <v>2.0</v>
      </c>
      <c r="AK24" s="26" t="s">
        <v>88</v>
      </c>
      <c r="AL24" s="65"/>
      <c r="AM24" s="68"/>
      <c r="AN24" s="26"/>
      <c r="AO24" s="69"/>
    </row>
    <row r="25">
      <c r="A25" s="60" t="s">
        <v>91</v>
      </c>
      <c r="B25" s="61" t="s">
        <v>92</v>
      </c>
      <c r="C25" s="26" t="s">
        <v>93</v>
      </c>
      <c r="D25" s="26" t="s">
        <v>94</v>
      </c>
      <c r="E25" s="60" t="s">
        <v>27</v>
      </c>
      <c r="F25" s="60" t="s">
        <v>33</v>
      </c>
      <c r="G25" s="62" t="s">
        <v>338</v>
      </c>
      <c r="H25" s="63" t="n">
        <v>1.0</v>
      </c>
      <c r="I25" s="64" t="s">
        <v>339</v>
      </c>
      <c r="J25" s="61" t="n">
        <v>1.0</v>
      </c>
      <c r="K25" s="61" t="n">
        <v>3.0</v>
      </c>
      <c r="L25" s="61" t="n">
        <v>2.0</v>
      </c>
      <c r="M25" s="61"/>
      <c r="N25" s="65"/>
      <c r="O25" s="65"/>
      <c r="P25" s="66" t="n">
        <f>O25-N25</f>
        <v>0.0</v>
      </c>
      <c r="Q25" s="26"/>
      <c r="R25" s="65"/>
      <c r="S25" s="65"/>
      <c r="T25" s="66"/>
      <c r="U25" s="26" t="s">
        <v>81</v>
      </c>
      <c r="V25" s="65"/>
      <c r="W25" s="65"/>
      <c r="X25" s="26" t="s">
        <v>81</v>
      </c>
      <c r="Y25" s="67"/>
      <c r="Z25" s="65"/>
      <c r="AA25" s="65"/>
      <c r="AB25" s="66"/>
      <c r="AC25" s="26" t="s">
        <v>81</v>
      </c>
      <c r="AD25" s="65"/>
      <c r="AE25" s="65"/>
      <c r="AF25" s="26"/>
      <c r="AG25" s="67"/>
      <c r="AH25" s="65" t="n">
        <v>45145.0</v>
      </c>
      <c r="AI25" s="65" t="n">
        <v>45146.0</v>
      </c>
      <c r="AJ25" s="61" t="n">
        <v>2.0</v>
      </c>
      <c r="AK25" s="26" t="s">
        <v>82</v>
      </c>
      <c r="AL25" s="65"/>
      <c r="AM25" s="68"/>
      <c r="AN25" s="26"/>
      <c r="AO25" s="69"/>
    </row>
    <row r="26">
      <c r="A26" s="60" t="s">
        <v>72</v>
      </c>
      <c r="B26" s="61" t="s">
        <v>95</v>
      </c>
      <c r="C26" s="26" t="s">
        <v>96</v>
      </c>
      <c r="D26" s="35" t="s">
        <v>97</v>
      </c>
      <c r="E26" s="60" t="s">
        <v>27</v>
      </c>
      <c r="F26" s="60" t="s">
        <v>28</v>
      </c>
      <c r="G26" s="62" t="s">
        <v>340</v>
      </c>
      <c r="H26" s="63" t="n">
        <v>0.0</v>
      </c>
      <c r="I26" s="64" t="s">
        <v>341</v>
      </c>
      <c r="J26" s="61" t="n">
        <v>2.0</v>
      </c>
      <c r="K26" s="61" t="n">
        <v>3.0</v>
      </c>
      <c r="L26" s="61" t="n">
        <v>2.0</v>
      </c>
      <c r="M26" s="61" t="n">
        <v>7.0</v>
      </c>
      <c r="N26" s="65"/>
      <c r="O26" s="65"/>
      <c r="P26" s="66" t="n">
        <f>O26-N26</f>
        <v>0.0</v>
      </c>
      <c r="Q26" s="26"/>
      <c r="R26" s="65" t="n">
        <v>45131.0</v>
      </c>
      <c r="S26" s="65" t="n">
        <v>45135.0</v>
      </c>
      <c r="T26" s="66" t="n">
        <f>S26-R26</f>
        <v>0.0</v>
      </c>
      <c r="U26" s="26" t="s">
        <v>98</v>
      </c>
      <c r="V26" s="65"/>
      <c r="W26" s="65"/>
      <c r="X26" s="67"/>
      <c r="Y26" s="67"/>
      <c r="Z26" s="65"/>
      <c r="AA26" s="65"/>
      <c r="AB26" s="66" t="n">
        <f>AA26-Z26</f>
        <v>0.0</v>
      </c>
      <c r="AC26" s="26"/>
      <c r="AD26" s="65"/>
      <c r="AE26" s="65"/>
      <c r="AF26" s="26"/>
      <c r="AG26" s="67"/>
      <c r="AH26" s="65" t="n">
        <v>45139.0</v>
      </c>
      <c r="AI26" s="65" t="n">
        <v>45141.0</v>
      </c>
      <c r="AJ26" s="66" t="n">
        <f>AI26-AH26</f>
        <v>0.0</v>
      </c>
      <c r="AK26" s="67" t="s">
        <v>99</v>
      </c>
      <c r="AL26" s="65"/>
      <c r="AM26" s="68"/>
      <c r="AN26" s="26"/>
      <c r="AO26" s="69"/>
    </row>
    <row r="27">
      <c r="A27" s="60" t="s">
        <v>72</v>
      </c>
      <c r="B27" s="61" t="s">
        <v>95</v>
      </c>
      <c r="C27" s="26" t="s">
        <v>100</v>
      </c>
      <c r="D27" s="35" t="s">
        <v>101</v>
      </c>
      <c r="E27" s="60" t="s">
        <v>27</v>
      </c>
      <c r="F27" s="60" t="s">
        <v>28</v>
      </c>
      <c r="G27" s="62" t="s">
        <v>342</v>
      </c>
      <c r="H27" s="63" t="n">
        <v>0.0</v>
      </c>
      <c r="I27" s="64" t="s">
        <v>343</v>
      </c>
      <c r="J27" s="61" t="n">
        <v>2.0</v>
      </c>
      <c r="K27" s="61" t="n">
        <v>3.0</v>
      </c>
      <c r="L27" s="61" t="n">
        <v>2.0</v>
      </c>
      <c r="M27" s="61" t="n">
        <v>7.0</v>
      </c>
      <c r="N27" s="65"/>
      <c r="O27" s="65"/>
      <c r="P27" s="66" t="n">
        <f>O27-N27</f>
        <v>0.0</v>
      </c>
      <c r="Q27" s="26"/>
      <c r="R27" s="65" t="n">
        <v>45131.0</v>
      </c>
      <c r="S27" s="65" t="n">
        <v>45135.0</v>
      </c>
      <c r="T27" s="66" t="n">
        <f>S27-R27</f>
        <v>0.0</v>
      </c>
      <c r="U27" s="26" t="s">
        <v>98</v>
      </c>
      <c r="V27" s="65"/>
      <c r="W27" s="65"/>
      <c r="X27" s="67"/>
      <c r="Y27" s="67"/>
      <c r="Z27" s="65"/>
      <c r="AA27" s="65"/>
      <c r="AB27" s="66" t="n">
        <f>AA27-Z27</f>
        <v>0.0</v>
      </c>
      <c r="AC27" s="26"/>
      <c r="AD27" s="65"/>
      <c r="AE27" s="65"/>
      <c r="AF27" s="26"/>
      <c r="AG27" s="67"/>
      <c r="AH27" s="65" t="n">
        <v>45139.0</v>
      </c>
      <c r="AI27" s="65" t="n">
        <v>45141.0</v>
      </c>
      <c r="AJ27" s="66" t="n">
        <f>AI27-AH27</f>
        <v>0.0</v>
      </c>
      <c r="AK27" s="67" t="s">
        <v>99</v>
      </c>
      <c r="AL27" s="65"/>
      <c r="AM27" s="68"/>
      <c r="AN27" s="26"/>
      <c r="AO27" s="69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</sheetData>
  <sheetCalcPr fullCalcOnLoad="true"/>
  <mergeCells count="20">
    <mergeCell ref="A1:A2"/>
    <mergeCell ref="B1:B2"/>
    <mergeCell ref="AH1:AK1"/>
    <mergeCell ref="C1:C2"/>
    <mergeCell ref="B3:B5"/>
    <mergeCell ref="D1:D2"/>
    <mergeCell ref="E1:E2"/>
    <mergeCell ref="B6:B14"/>
    <mergeCell ref="F1:F2"/>
    <mergeCell ref="AL1:AO1"/>
    <mergeCell ref="G1:G2"/>
    <mergeCell ref="H1:H2"/>
    <mergeCell ref="I1:I2"/>
    <mergeCell ref="J1:M1"/>
    <mergeCell ref="N1:Q1"/>
    <mergeCell ref="R1:U1"/>
    <mergeCell ref="B20:B22"/>
    <mergeCell ref="V1:Y1"/>
    <mergeCell ref="Z1:AC1"/>
    <mergeCell ref="AD1:AG1"/>
  </mergeCells>
  <dataValidations count="5">
    <dataValidation type="list" errorStyle="warning" allowBlank="true" showDropDown="false" showInputMessage="false" showErrorMessage="true" promptTitle="提示" prompt="您选择的不是下拉列表中的选项" sqref="G3:G27">
      <formula1>"待启动,进行中,已完成,已上线"</formula1>
    </dataValidation>
    <dataValidation type="list" errorStyle="warning" allowBlank="true" showDropDown="false" showInputMessage="false" showErrorMessage="true" promptTitle="提示" prompt="您选择的不是下拉列表中的选项" sqref="E3:E27">
      <formula1>"MVP,二期,三期"</formula1>
    </dataValidation>
    <dataValidation type="list" errorStyle="warning" allowBlank="true" showDropDown="false" showInputMessage="false" showErrorMessage="true" promptTitle="提示" prompt="您选择的不是下拉列表中的选项" sqref="A3:A27">
      <formula1>"主数据共享中心,药店通,药友财,药亿采,药聚采,药仓宝,报表管理"</formula1>
    </dataValidation>
    <dataValidation type="list" errorStyle="warning" allowBlank="true" showDropDown="false" showInputMessage="false" showErrorMessage="true" promptTitle="提示" prompt="您选择的不是下拉列表中的选项" sqref="F3:F27">
      <formula1>"高,中,低"</formula1>
    </dataValidation>
    <dataValidation type="list" errorStyle="warning" allowBlank="true" showDropDown="false" showInputMessage="false" showErrorMessage="true" promptTitle="提示" prompt="您选择的不是下拉列表中的选项" sqref="I3:I27">
      <formula1>"进度正常,低风险,中等风险,高风险"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tabSelected="false" workbookViewId="0"/>
  </sheetViews>
  <cols>
    <col min="1" max="1" width="14.0" hidden="false" customWidth="true"/>
    <col min="2" max="2" width="14.0" hidden="false" customWidth="true"/>
    <col min="3" max="3" width="19.0" hidden="false" customWidth="true"/>
    <col min="4" max="4" width="20.0" hidden="false" customWidth="true"/>
    <col min="5" max="5" width="32.0" hidden="false" customWidth="true"/>
    <col min="6" max="6" width="23.0" hidden="false" customWidth="true"/>
    <col min="7" max="7" width="23.0" hidden="false" customWidth="true"/>
    <col min="8" max="8" width="14.0" hidden="false" customWidth="true"/>
    <col min="9" max="9" width="14.0" hidden="false" customWidth="true"/>
    <col min="10" max="10" width="14.0" hidden="false" customWidth="true"/>
    <col min="11" max="11" width="14.0" hidden="false" customWidth="true"/>
    <col min="12" max="12" width="14.0" hidden="false" customWidth="true"/>
    <col min="13" max="13" width="14.0" hidden="false" customWidth="true"/>
    <col min="14" max="14" width="14.0" hidden="false" customWidth="true"/>
    <col min="15" max="15" width="14.0" hidden="false" customWidth="true"/>
    <col min="16" max="16" width="14.0" hidden="false" customWidth="true"/>
    <col min="17" max="17" width="14.0" hidden="false" customWidth="true"/>
    <col min="18" max="18" width="14.0" hidden="false" customWidth="true"/>
    <col min="19" max="19" width="14.0" hidden="false" customWidth="true"/>
    <col min="20" max="20" width="14.0" hidden="false" customWidth="true"/>
    <col min="21" max="21" width="14.0" hidden="false" customWidth="true"/>
    <col min="22" max="22" width="14.0" hidden="false" customWidth="true"/>
    <col min="23" max="23" width="14.0" hidden="false" customWidth="true"/>
    <col min="24" max="24" width="14.0" hidden="false" customWidth="true"/>
    <col min="25" max="25" width="14.0" hidden="false" customWidth="true"/>
    <col min="26" max="26" width="14.0" hidden="false" customWidth="true"/>
    <col min="27" max="27" width="14.0" hidden="false" customWidth="true"/>
  </cols>
  <sheetData>
    <row r="1">
      <c r="A1" s="75"/>
      <c r="B1" s="75"/>
      <c r="C1" s="76"/>
      <c r="D1" s="76"/>
      <c r="E1" s="77" t="s">
        <v>344</v>
      </c>
      <c r="F1" s="78"/>
      <c r="G1" s="78"/>
      <c r="H1" s="78"/>
      <c r="I1" s="75"/>
      <c r="J1" s="75"/>
      <c r="K1" s="75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75" t="s">
        <v>345</v>
      </c>
      <c r="B2" s="79" t="s">
        <v>346</v>
      </c>
      <c r="C2" s="80" t="s">
        <v>347</v>
      </c>
      <c r="D2" s="80" t="s">
        <v>348</v>
      </c>
      <c r="E2" s="81" t="s">
        <v>349</v>
      </c>
      <c r="F2" s="81" t="s">
        <v>350</v>
      </c>
      <c r="G2" s="81" t="s">
        <v>351</v>
      </c>
      <c r="H2" s="81" t="s">
        <v>352</v>
      </c>
      <c r="I2" s="79" t="s">
        <v>353</v>
      </c>
      <c r="J2" s="82" t="s">
        <v>354</v>
      </c>
      <c r="K2" s="79" t="s">
        <v>355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1" t="n">
        <v>1.0</v>
      </c>
      <c r="B3" s="70" t="s">
        <v>116</v>
      </c>
      <c r="C3" s="26" t="s">
        <v>117</v>
      </c>
      <c r="D3" s="26" t="s">
        <v>118</v>
      </c>
      <c r="E3" s="83" t="s">
        <v>119</v>
      </c>
      <c r="F3" s="83" t="s">
        <v>120</v>
      </c>
      <c r="G3" s="83" t="s">
        <v>120</v>
      </c>
      <c r="H3" s="83" t="s">
        <v>120</v>
      </c>
      <c r="I3" s="61" t="s">
        <v>121</v>
      </c>
      <c r="J3" s="84" t="s">
        <v>121</v>
      </c>
      <c r="K3" s="2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61" t="n">
        <v>2.0</v>
      </c>
      <c r="B4" s="71"/>
      <c r="C4" s="26" t="s">
        <v>122</v>
      </c>
      <c r="D4" s="26" t="s">
        <v>123</v>
      </c>
      <c r="E4" s="83" t="s">
        <v>119</v>
      </c>
      <c r="F4" s="83" t="s">
        <v>120</v>
      </c>
      <c r="G4" s="83" t="s">
        <v>120</v>
      </c>
      <c r="H4" s="83" t="s">
        <v>120</v>
      </c>
      <c r="I4" s="61" t="s">
        <v>121</v>
      </c>
      <c r="J4" s="84" t="s">
        <v>121</v>
      </c>
      <c r="K4" s="26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61" t="n">
        <v>3.0</v>
      </c>
      <c r="B5" s="71"/>
      <c r="C5" s="26" t="s">
        <v>124</v>
      </c>
      <c r="D5" s="26" t="s">
        <v>125</v>
      </c>
      <c r="E5" s="83" t="s">
        <v>119</v>
      </c>
      <c r="F5" s="83" t="s">
        <v>120</v>
      </c>
      <c r="G5" s="83" t="s">
        <v>120</v>
      </c>
      <c r="H5" s="83" t="s">
        <v>120</v>
      </c>
      <c r="I5" s="61" t="s">
        <v>121</v>
      </c>
      <c r="J5" s="84" t="s">
        <v>121</v>
      </c>
      <c r="K5" s="2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61" t="n">
        <v>4.0</v>
      </c>
      <c r="B6" s="71"/>
      <c r="C6" s="26" t="s">
        <v>126</v>
      </c>
      <c r="D6" s="26" t="s">
        <v>127</v>
      </c>
      <c r="E6" s="83" t="s">
        <v>119</v>
      </c>
      <c r="F6" s="83" t="s">
        <v>120</v>
      </c>
      <c r="G6" s="83" t="s">
        <v>120</v>
      </c>
      <c r="H6" s="83" t="s">
        <v>120</v>
      </c>
      <c r="I6" s="61" t="s">
        <v>121</v>
      </c>
      <c r="J6" s="84" t="s">
        <v>121</v>
      </c>
      <c r="K6" s="2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61" t="n">
        <v>5.0</v>
      </c>
      <c r="B7" s="71"/>
      <c r="C7" s="26" t="s">
        <v>128</v>
      </c>
      <c r="D7" s="26" t="s">
        <v>129</v>
      </c>
      <c r="E7" s="83" t="s">
        <v>119</v>
      </c>
      <c r="F7" s="83" t="s">
        <v>120</v>
      </c>
      <c r="G7" s="83" t="s">
        <v>120</v>
      </c>
      <c r="H7" s="83" t="s">
        <v>120</v>
      </c>
      <c r="I7" s="61" t="s">
        <v>121</v>
      </c>
      <c r="J7" s="84" t="s">
        <v>121</v>
      </c>
      <c r="K7" s="2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61" t="n">
        <v>6.0</v>
      </c>
      <c r="B8" s="71"/>
      <c r="C8" s="26" t="s">
        <v>130</v>
      </c>
      <c r="D8" s="26" t="s">
        <v>131</v>
      </c>
      <c r="E8" s="83" t="s">
        <v>119</v>
      </c>
      <c r="F8" s="83" t="s">
        <v>120</v>
      </c>
      <c r="G8" s="83" t="s">
        <v>120</v>
      </c>
      <c r="H8" s="83" t="s">
        <v>120</v>
      </c>
      <c r="I8" s="61" t="s">
        <v>121</v>
      </c>
      <c r="J8" s="84" t="s">
        <v>121</v>
      </c>
      <c r="K8" s="2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61" t="n">
        <v>7.0</v>
      </c>
      <c r="B9" s="71"/>
      <c r="C9" s="26" t="s">
        <v>132</v>
      </c>
      <c r="D9" s="26" t="s">
        <v>133</v>
      </c>
      <c r="E9" s="83" t="s">
        <v>134</v>
      </c>
      <c r="F9" s="83" t="s">
        <v>135</v>
      </c>
      <c r="G9" s="83" t="s">
        <v>120</v>
      </c>
      <c r="H9" s="83" t="s">
        <v>120</v>
      </c>
      <c r="I9" s="61" t="s">
        <v>121</v>
      </c>
      <c r="J9" s="84" t="s">
        <v>121</v>
      </c>
      <c r="K9" s="2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61" t="n">
        <v>8.0</v>
      </c>
      <c r="B10" s="71"/>
      <c r="C10" s="26" t="s">
        <v>136</v>
      </c>
      <c r="D10" s="26" t="s">
        <v>137</v>
      </c>
      <c r="E10" s="83" t="s">
        <v>119</v>
      </c>
      <c r="F10" s="83" t="s">
        <v>120</v>
      </c>
      <c r="G10" s="83" t="s">
        <v>120</v>
      </c>
      <c r="H10" s="83" t="s">
        <v>120</v>
      </c>
      <c r="I10" s="61" t="s">
        <v>121</v>
      </c>
      <c r="J10" s="84" t="s">
        <v>121</v>
      </c>
      <c r="K10" s="27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61" t="n">
        <v>9.0</v>
      </c>
      <c r="B11" s="71"/>
      <c r="C11" s="26" t="s">
        <v>138</v>
      </c>
      <c r="D11" s="26" t="s">
        <v>139</v>
      </c>
      <c r="E11" s="83" t="s">
        <v>119</v>
      </c>
      <c r="F11" s="83" t="s">
        <v>120</v>
      </c>
      <c r="G11" s="83" t="s">
        <v>120</v>
      </c>
      <c r="H11" s="83" t="s">
        <v>120</v>
      </c>
      <c r="I11" s="61" t="s">
        <v>121</v>
      </c>
      <c r="J11" s="84" t="s">
        <v>121</v>
      </c>
      <c r="K11" s="2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61" t="n">
        <v>10.0</v>
      </c>
      <c r="B12" s="71"/>
      <c r="C12" s="26" t="s">
        <v>140</v>
      </c>
      <c r="D12" s="26" t="s">
        <v>141</v>
      </c>
      <c r="E12" s="83" t="s">
        <v>119</v>
      </c>
      <c r="F12" s="83" t="s">
        <v>120</v>
      </c>
      <c r="G12" s="83" t="s">
        <v>120</v>
      </c>
      <c r="H12" s="83" t="s">
        <v>120</v>
      </c>
      <c r="I12" s="61" t="s">
        <v>121</v>
      </c>
      <c r="J12" s="84" t="s">
        <v>121</v>
      </c>
      <c r="K12" s="2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61" t="n">
        <v>11.0</v>
      </c>
      <c r="B13" s="71"/>
      <c r="C13" s="26" t="s">
        <v>142</v>
      </c>
      <c r="D13" s="26" t="s">
        <v>143</v>
      </c>
      <c r="E13" s="83" t="s">
        <v>119</v>
      </c>
      <c r="F13" s="83" t="s">
        <v>120</v>
      </c>
      <c r="G13" s="83" t="s">
        <v>120</v>
      </c>
      <c r="H13" s="83" t="s">
        <v>120</v>
      </c>
      <c r="I13" s="61" t="s">
        <v>121</v>
      </c>
      <c r="J13" s="84" t="s">
        <v>121</v>
      </c>
      <c r="K13" s="2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61" t="n">
        <v>12.0</v>
      </c>
      <c r="B14" s="71"/>
      <c r="C14" s="26" t="s">
        <v>144</v>
      </c>
      <c r="D14" s="26" t="s">
        <v>145</v>
      </c>
      <c r="E14" s="83" t="s">
        <v>119</v>
      </c>
      <c r="F14" s="83" t="s">
        <v>120</v>
      </c>
      <c r="G14" s="83" t="s">
        <v>120</v>
      </c>
      <c r="H14" s="83" t="s">
        <v>120</v>
      </c>
      <c r="I14" s="61" t="s">
        <v>121</v>
      </c>
      <c r="J14" s="84" t="s">
        <v>121</v>
      </c>
      <c r="K14" s="2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61" t="n">
        <v>13.0</v>
      </c>
      <c r="B15" s="71"/>
      <c r="C15" s="26" t="s">
        <v>146</v>
      </c>
      <c r="D15" s="26" t="s">
        <v>147</v>
      </c>
      <c r="E15" s="83" t="s">
        <v>119</v>
      </c>
      <c r="F15" s="83" t="s">
        <v>120</v>
      </c>
      <c r="G15" s="83" t="s">
        <v>120</v>
      </c>
      <c r="H15" s="83" t="s">
        <v>120</v>
      </c>
      <c r="I15" s="61" t="s">
        <v>121</v>
      </c>
      <c r="J15" s="84" t="s">
        <v>121</v>
      </c>
      <c r="K15" s="2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61" t="n">
        <v>14.0</v>
      </c>
      <c r="B16" s="71"/>
      <c r="C16" s="26" t="s">
        <v>148</v>
      </c>
      <c r="D16" s="26" t="s">
        <v>149</v>
      </c>
      <c r="E16" s="83" t="s">
        <v>119</v>
      </c>
      <c r="F16" s="83" t="s">
        <v>120</v>
      </c>
      <c r="G16" s="83" t="s">
        <v>120</v>
      </c>
      <c r="H16" s="83" t="s">
        <v>120</v>
      </c>
      <c r="I16" s="61" t="s">
        <v>121</v>
      </c>
      <c r="J16" s="84" t="s">
        <v>121</v>
      </c>
      <c r="K16" s="2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61" t="n">
        <v>15.0</v>
      </c>
      <c r="B17" s="71"/>
      <c r="C17" s="26" t="s">
        <v>150</v>
      </c>
      <c r="D17" s="26" t="s">
        <v>151</v>
      </c>
      <c r="E17" s="83" t="s">
        <v>119</v>
      </c>
      <c r="F17" s="83" t="s">
        <v>120</v>
      </c>
      <c r="G17" s="83" t="s">
        <v>120</v>
      </c>
      <c r="H17" s="83" t="s">
        <v>120</v>
      </c>
      <c r="I17" s="61" t="s">
        <v>121</v>
      </c>
      <c r="J17" s="84" t="s">
        <v>121</v>
      </c>
      <c r="K17" s="2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61" t="n">
        <v>16.0</v>
      </c>
      <c r="B18" s="71"/>
      <c r="C18" s="26" t="s">
        <v>152</v>
      </c>
      <c r="D18" s="26" t="s">
        <v>153</v>
      </c>
      <c r="E18" s="83" t="s">
        <v>119</v>
      </c>
      <c r="F18" s="83" t="s">
        <v>120</v>
      </c>
      <c r="G18" s="83" t="s">
        <v>120</v>
      </c>
      <c r="H18" s="83" t="s">
        <v>120</v>
      </c>
      <c r="I18" s="61" t="s">
        <v>121</v>
      </c>
      <c r="J18" s="84" t="s">
        <v>121</v>
      </c>
      <c r="K18" s="2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61" t="n">
        <v>17.0</v>
      </c>
      <c r="B19" s="71"/>
      <c r="C19" s="26" t="s">
        <v>154</v>
      </c>
      <c r="D19" s="26" t="s">
        <v>155</v>
      </c>
      <c r="E19" s="83" t="s">
        <v>119</v>
      </c>
      <c r="F19" s="83" t="s">
        <v>120</v>
      </c>
      <c r="G19" s="83" t="s">
        <v>120</v>
      </c>
      <c r="H19" s="83" t="s">
        <v>120</v>
      </c>
      <c r="I19" s="61" t="s">
        <v>121</v>
      </c>
      <c r="J19" s="84" t="s">
        <v>121</v>
      </c>
      <c r="K19" s="2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61" t="n">
        <v>18.0</v>
      </c>
      <c r="B20" s="71"/>
      <c r="C20" s="26" t="s">
        <v>156</v>
      </c>
      <c r="D20" s="26" t="s">
        <v>157</v>
      </c>
      <c r="E20" s="83" t="s">
        <v>119</v>
      </c>
      <c r="F20" s="83" t="s">
        <v>120</v>
      </c>
      <c r="G20" s="83" t="s">
        <v>120</v>
      </c>
      <c r="H20" s="83" t="s">
        <v>120</v>
      </c>
      <c r="I20" s="61" t="s">
        <v>121</v>
      </c>
      <c r="J20" s="84" t="s">
        <v>121</v>
      </c>
      <c r="K20" s="2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61" t="n">
        <v>19.0</v>
      </c>
      <c r="B21" s="71"/>
      <c r="C21" s="26" t="s">
        <v>158</v>
      </c>
      <c r="D21" s="26" t="s">
        <v>159</v>
      </c>
      <c r="E21" s="83" t="s">
        <v>119</v>
      </c>
      <c r="F21" s="83" t="s">
        <v>120</v>
      </c>
      <c r="G21" s="83" t="s">
        <v>120</v>
      </c>
      <c r="H21" s="83" t="s">
        <v>120</v>
      </c>
      <c r="I21" s="61" t="s">
        <v>121</v>
      </c>
      <c r="J21" s="84" t="s">
        <v>121</v>
      </c>
      <c r="K21" s="2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61" t="n">
        <v>20.0</v>
      </c>
      <c r="B22" s="71"/>
      <c r="C22" s="26" t="s">
        <v>160</v>
      </c>
      <c r="D22" s="26" t="s">
        <v>161</v>
      </c>
      <c r="E22" s="83" t="s">
        <v>119</v>
      </c>
      <c r="F22" s="83" t="s">
        <v>120</v>
      </c>
      <c r="G22" s="83" t="s">
        <v>120</v>
      </c>
      <c r="H22" s="83" t="s">
        <v>120</v>
      </c>
      <c r="I22" s="61" t="s">
        <v>121</v>
      </c>
      <c r="J22" s="84" t="s">
        <v>121</v>
      </c>
      <c r="K22" s="2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61" t="n">
        <v>21.0</v>
      </c>
      <c r="B23" s="71"/>
      <c r="C23" s="26" t="s">
        <v>162</v>
      </c>
      <c r="D23" s="26" t="s">
        <v>163</v>
      </c>
      <c r="E23" s="83" t="s">
        <v>119</v>
      </c>
      <c r="F23" s="83" t="s">
        <v>120</v>
      </c>
      <c r="G23" s="83" t="s">
        <v>120</v>
      </c>
      <c r="H23" s="83" t="s">
        <v>120</v>
      </c>
      <c r="I23" s="61" t="s">
        <v>121</v>
      </c>
      <c r="J23" s="84" t="s">
        <v>121</v>
      </c>
      <c r="K23" s="2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61" t="n">
        <v>22.0</v>
      </c>
      <c r="B24" s="71"/>
      <c r="C24" s="26" t="s">
        <v>164</v>
      </c>
      <c r="D24" s="26" t="s">
        <v>165</v>
      </c>
      <c r="E24" s="83" t="s">
        <v>119</v>
      </c>
      <c r="F24" s="83" t="s">
        <v>120</v>
      </c>
      <c r="G24" s="83" t="s">
        <v>120</v>
      </c>
      <c r="H24" s="83" t="s">
        <v>120</v>
      </c>
      <c r="I24" s="61" t="s">
        <v>121</v>
      </c>
      <c r="J24" s="84" t="s">
        <v>121</v>
      </c>
      <c r="K24" s="2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61" t="n">
        <v>23.0</v>
      </c>
      <c r="B25" s="71"/>
      <c r="C25" s="26" t="s">
        <v>166</v>
      </c>
      <c r="D25" s="26" t="s">
        <v>167</v>
      </c>
      <c r="E25" s="83" t="s">
        <v>119</v>
      </c>
      <c r="F25" s="83" t="s">
        <v>120</v>
      </c>
      <c r="G25" s="83" t="s">
        <v>120</v>
      </c>
      <c r="H25" s="83" t="s">
        <v>120</v>
      </c>
      <c r="I25" s="61" t="s">
        <v>121</v>
      </c>
      <c r="J25" s="84" t="s">
        <v>121</v>
      </c>
      <c r="K25" s="2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61" t="n">
        <v>24.0</v>
      </c>
      <c r="B26" s="71"/>
      <c r="C26" s="26" t="s">
        <v>168</v>
      </c>
      <c r="D26" s="26" t="s">
        <v>169</v>
      </c>
      <c r="E26" s="83" t="s">
        <v>170</v>
      </c>
      <c r="F26" s="83" t="s">
        <v>120</v>
      </c>
      <c r="G26" s="83" t="s">
        <v>120</v>
      </c>
      <c r="H26" s="83" t="s">
        <v>120</v>
      </c>
      <c r="I26" s="61" t="s">
        <v>121</v>
      </c>
      <c r="J26" s="84" t="s">
        <v>121</v>
      </c>
      <c r="K26" s="2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61" t="n">
        <v>25.0</v>
      </c>
      <c r="B27" s="71"/>
      <c r="C27" s="85" t="s">
        <v>171</v>
      </c>
      <c r="D27" s="85" t="s">
        <v>172</v>
      </c>
      <c r="E27" s="83" t="s">
        <v>119</v>
      </c>
      <c r="F27" s="83" t="s">
        <v>120</v>
      </c>
      <c r="G27" s="83" t="s">
        <v>120</v>
      </c>
      <c r="H27" s="86" t="s">
        <v>120</v>
      </c>
      <c r="I27" s="61" t="s">
        <v>121</v>
      </c>
      <c r="J27" s="84" t="s">
        <v>121</v>
      </c>
      <c r="K27" s="2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61" t="n">
        <v>26.0</v>
      </c>
      <c r="B28" s="71"/>
      <c r="C28" s="85" t="s">
        <v>173</v>
      </c>
      <c r="D28" s="85" t="s">
        <v>174</v>
      </c>
      <c r="E28" s="83" t="s">
        <v>134</v>
      </c>
      <c r="F28" s="83" t="s">
        <v>135</v>
      </c>
      <c r="G28" s="83" t="s">
        <v>120</v>
      </c>
      <c r="H28" s="86" t="s">
        <v>120</v>
      </c>
      <c r="I28" s="61" t="s">
        <v>121</v>
      </c>
      <c r="J28" s="84" t="s">
        <v>121</v>
      </c>
      <c r="K28" s="27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61" t="n">
        <v>27.0</v>
      </c>
      <c r="B29" s="71"/>
      <c r="C29" s="85" t="s">
        <v>175</v>
      </c>
      <c r="D29" s="85" t="s">
        <v>176</v>
      </c>
      <c r="E29" s="83" t="s">
        <v>134</v>
      </c>
      <c r="F29" s="83" t="s">
        <v>135</v>
      </c>
      <c r="G29" s="83" t="s">
        <v>120</v>
      </c>
      <c r="H29" s="86" t="s">
        <v>120</v>
      </c>
      <c r="I29" s="61" t="s">
        <v>121</v>
      </c>
      <c r="J29" s="84" t="s">
        <v>121</v>
      </c>
      <c r="K29" s="27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61" t="n">
        <v>28.0</v>
      </c>
      <c r="B30" s="71"/>
      <c r="C30" s="85" t="s">
        <v>177</v>
      </c>
      <c r="D30" s="85" t="s">
        <v>178</v>
      </c>
      <c r="E30" s="83" t="s">
        <v>134</v>
      </c>
      <c r="F30" s="83" t="s">
        <v>135</v>
      </c>
      <c r="G30" s="83" t="s">
        <v>120</v>
      </c>
      <c r="H30" s="86" t="s">
        <v>120</v>
      </c>
      <c r="I30" s="61" t="s">
        <v>121</v>
      </c>
      <c r="J30" s="84" t="s">
        <v>121</v>
      </c>
      <c r="K30" s="2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61" t="n">
        <v>29.0</v>
      </c>
      <c r="B31" s="71"/>
      <c r="C31" s="85" t="s">
        <v>179</v>
      </c>
      <c r="D31" s="85" t="s">
        <v>180</v>
      </c>
      <c r="E31" s="83" t="s">
        <v>134</v>
      </c>
      <c r="F31" s="83" t="s">
        <v>135</v>
      </c>
      <c r="G31" s="83" t="s">
        <v>120</v>
      </c>
      <c r="H31" s="86" t="s">
        <v>120</v>
      </c>
      <c r="I31" s="61" t="s">
        <v>121</v>
      </c>
      <c r="J31" s="84" t="s">
        <v>121</v>
      </c>
      <c r="K31" s="2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61" t="n">
        <v>30.0</v>
      </c>
      <c r="B32" s="71"/>
      <c r="C32" s="85" t="s">
        <v>181</v>
      </c>
      <c r="D32" s="85" t="s">
        <v>182</v>
      </c>
      <c r="E32" s="83" t="s">
        <v>134</v>
      </c>
      <c r="F32" s="83" t="s">
        <v>135</v>
      </c>
      <c r="G32" s="83" t="s">
        <v>120</v>
      </c>
      <c r="H32" s="86" t="s">
        <v>120</v>
      </c>
      <c r="I32" s="61" t="s">
        <v>121</v>
      </c>
      <c r="J32" s="84" t="s">
        <v>121</v>
      </c>
      <c r="K32" s="27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61" t="n">
        <v>31.0</v>
      </c>
      <c r="B33" s="71"/>
      <c r="C33" s="85" t="s">
        <v>183</v>
      </c>
      <c r="D33" s="85" t="s">
        <v>184</v>
      </c>
      <c r="E33" s="83" t="s">
        <v>134</v>
      </c>
      <c r="F33" s="83" t="s">
        <v>135</v>
      </c>
      <c r="G33" s="83" t="s">
        <v>120</v>
      </c>
      <c r="H33" s="86" t="s">
        <v>120</v>
      </c>
      <c r="I33" s="61" t="s">
        <v>121</v>
      </c>
      <c r="J33" s="84" t="s">
        <v>121</v>
      </c>
      <c r="K33" s="27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61" t="n">
        <v>32.0</v>
      </c>
      <c r="B34" s="71"/>
      <c r="C34" s="85" t="s">
        <v>185</v>
      </c>
      <c r="D34" s="85" t="s">
        <v>186</v>
      </c>
      <c r="E34" s="83" t="s">
        <v>119</v>
      </c>
      <c r="F34" s="83" t="s">
        <v>120</v>
      </c>
      <c r="G34" s="83" t="s">
        <v>120</v>
      </c>
      <c r="H34" s="86" t="s">
        <v>120</v>
      </c>
      <c r="I34" s="61" t="s">
        <v>121</v>
      </c>
      <c r="J34" s="84" t="s">
        <v>121</v>
      </c>
      <c r="K34" s="2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61" t="n">
        <v>33.0</v>
      </c>
      <c r="B35" s="71"/>
      <c r="C35" s="85" t="s">
        <v>187</v>
      </c>
      <c r="D35" s="85" t="s">
        <v>188</v>
      </c>
      <c r="E35" s="83" t="s">
        <v>119</v>
      </c>
      <c r="F35" s="83" t="s">
        <v>120</v>
      </c>
      <c r="G35" s="83" t="s">
        <v>120</v>
      </c>
      <c r="H35" s="86" t="s">
        <v>120</v>
      </c>
      <c r="I35" s="61" t="s">
        <v>121</v>
      </c>
      <c r="J35" s="84" t="s">
        <v>121</v>
      </c>
      <c r="K35" s="2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61" t="n">
        <v>34.0</v>
      </c>
      <c r="B36" s="71"/>
      <c r="C36" s="85" t="s">
        <v>189</v>
      </c>
      <c r="D36" s="85" t="s">
        <v>190</v>
      </c>
      <c r="E36" s="83" t="s">
        <v>119</v>
      </c>
      <c r="F36" s="83" t="s">
        <v>120</v>
      </c>
      <c r="G36" s="83" t="s">
        <v>120</v>
      </c>
      <c r="H36" s="86" t="s">
        <v>120</v>
      </c>
      <c r="I36" s="61" t="s">
        <v>121</v>
      </c>
      <c r="J36" s="84" t="s">
        <v>121</v>
      </c>
      <c r="K36" s="2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61" t="n">
        <v>35.0</v>
      </c>
      <c r="B37" s="71"/>
      <c r="C37" s="85" t="s">
        <v>191</v>
      </c>
      <c r="D37" s="85"/>
      <c r="E37" s="83" t="s">
        <v>119</v>
      </c>
      <c r="F37" s="83" t="s">
        <v>120</v>
      </c>
      <c r="G37" s="83" t="s">
        <v>120</v>
      </c>
      <c r="H37" s="86" t="s">
        <v>120</v>
      </c>
      <c r="I37" s="61" t="s">
        <v>121</v>
      </c>
      <c r="J37" s="84" t="s">
        <v>121</v>
      </c>
      <c r="K37" s="2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61" t="n">
        <v>36.0</v>
      </c>
      <c r="B38" s="71"/>
      <c r="C38" s="85" t="s">
        <v>192</v>
      </c>
      <c r="D38" s="85"/>
      <c r="E38" s="83" t="s">
        <v>119</v>
      </c>
      <c r="F38" s="83" t="s">
        <v>120</v>
      </c>
      <c r="G38" s="83" t="s">
        <v>120</v>
      </c>
      <c r="H38" s="86" t="s">
        <v>120</v>
      </c>
      <c r="I38" s="61" t="s">
        <v>121</v>
      </c>
      <c r="J38" s="84" t="s">
        <v>121</v>
      </c>
      <c r="K38" s="2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61" t="n">
        <v>37.0</v>
      </c>
      <c r="B39" s="71"/>
      <c r="C39" s="26" t="s">
        <v>193</v>
      </c>
      <c r="D39" s="26" t="s">
        <v>194</v>
      </c>
      <c r="E39" s="83" t="s">
        <v>134</v>
      </c>
      <c r="F39" s="83" t="s">
        <v>135</v>
      </c>
      <c r="G39" s="83" t="s">
        <v>120</v>
      </c>
      <c r="H39" s="86" t="s">
        <v>120</v>
      </c>
      <c r="I39" s="61" t="s">
        <v>121</v>
      </c>
      <c r="J39" s="84" t="s">
        <v>121</v>
      </c>
      <c r="K39" s="26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61" t="n">
        <v>38.0</v>
      </c>
      <c r="B40" s="72"/>
      <c r="C40" s="87" t="s">
        <v>195</v>
      </c>
      <c r="D40" s="87" t="s">
        <v>196</v>
      </c>
      <c r="E40" s="83" t="s">
        <v>134</v>
      </c>
      <c r="F40" s="83" t="s">
        <v>135</v>
      </c>
      <c r="G40" s="83" t="s">
        <v>120</v>
      </c>
      <c r="H40" s="86" t="s">
        <v>120</v>
      </c>
      <c r="I40" s="61" t="s">
        <v>121</v>
      </c>
      <c r="J40" s="84" t="s">
        <v>121</v>
      </c>
      <c r="K40" s="2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61" t="n">
        <v>39.0</v>
      </c>
      <c r="B41" s="88" t="s">
        <v>197</v>
      </c>
      <c r="C41" s="87" t="s">
        <v>198</v>
      </c>
      <c r="D41" s="87" t="s">
        <v>199</v>
      </c>
      <c r="E41" s="83" t="s">
        <v>119</v>
      </c>
      <c r="F41" s="83" t="s">
        <v>120</v>
      </c>
      <c r="G41" s="83" t="s">
        <v>120</v>
      </c>
      <c r="H41" s="89" t="s">
        <v>120</v>
      </c>
      <c r="I41" s="61" t="s">
        <v>121</v>
      </c>
      <c r="J41" s="84" t="s">
        <v>121</v>
      </c>
      <c r="K41" s="2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61" t="n">
        <v>40.0</v>
      </c>
      <c r="B42" s="90"/>
      <c r="C42" s="26" t="s">
        <v>200</v>
      </c>
      <c r="D42" s="26" t="s">
        <v>201</v>
      </c>
      <c r="E42" s="83" t="s">
        <v>119</v>
      </c>
      <c r="F42" s="83" t="s">
        <v>120</v>
      </c>
      <c r="G42" s="83" t="s">
        <v>120</v>
      </c>
      <c r="H42" s="83" t="s">
        <v>120</v>
      </c>
      <c r="I42" s="61" t="s">
        <v>121</v>
      </c>
      <c r="J42" s="84" t="s">
        <v>121</v>
      </c>
      <c r="K42" s="2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61" t="n">
        <v>41.0</v>
      </c>
      <c r="B43" s="90"/>
      <c r="C43" s="26" t="s">
        <v>202</v>
      </c>
      <c r="D43" s="26" t="s">
        <v>203</v>
      </c>
      <c r="E43" s="83" t="s">
        <v>119</v>
      </c>
      <c r="F43" s="83" t="s">
        <v>120</v>
      </c>
      <c r="G43" s="83" t="s">
        <v>120</v>
      </c>
      <c r="H43" s="83" t="s">
        <v>120</v>
      </c>
      <c r="I43" s="61" t="s">
        <v>121</v>
      </c>
      <c r="J43" s="84" t="s">
        <v>121</v>
      </c>
      <c r="K43" s="2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61" t="n">
        <v>42.0</v>
      </c>
      <c r="B44" s="90"/>
      <c r="C44" s="26" t="s">
        <v>204</v>
      </c>
      <c r="D44" s="26" t="s">
        <v>205</v>
      </c>
      <c r="E44" s="83" t="s">
        <v>119</v>
      </c>
      <c r="F44" s="83" t="s">
        <v>120</v>
      </c>
      <c r="G44" s="83" t="s">
        <v>120</v>
      </c>
      <c r="H44" s="83" t="s">
        <v>120</v>
      </c>
      <c r="I44" s="61" t="s">
        <v>121</v>
      </c>
      <c r="J44" s="84" t="s">
        <v>121</v>
      </c>
      <c r="K44" s="2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61" t="n">
        <v>43.0</v>
      </c>
      <c r="B45" s="90"/>
      <c r="C45" s="91" t="s">
        <v>206</v>
      </c>
      <c r="D45" s="26" t="s">
        <v>207</v>
      </c>
      <c r="E45" s="83" t="s">
        <v>119</v>
      </c>
      <c r="F45" s="83" t="s">
        <v>120</v>
      </c>
      <c r="G45" s="83" t="s">
        <v>120</v>
      </c>
      <c r="H45" s="83" t="s">
        <v>120</v>
      </c>
      <c r="I45" s="61" t="s">
        <v>121</v>
      </c>
      <c r="J45" s="84" t="s">
        <v>121</v>
      </c>
      <c r="K45" s="27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61" t="n">
        <v>44.0</v>
      </c>
      <c r="B46" s="90"/>
      <c r="C46" s="85" t="s">
        <v>208</v>
      </c>
      <c r="D46" s="26" t="s">
        <v>209</v>
      </c>
      <c r="E46" s="83" t="s">
        <v>119</v>
      </c>
      <c r="F46" s="83" t="s">
        <v>120</v>
      </c>
      <c r="G46" s="83" t="s">
        <v>120</v>
      </c>
      <c r="H46" s="83" t="s">
        <v>120</v>
      </c>
      <c r="I46" s="61" t="s">
        <v>121</v>
      </c>
      <c r="J46" s="84" t="s">
        <v>121</v>
      </c>
      <c r="K46" s="2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61" t="n">
        <v>45.0</v>
      </c>
      <c r="B47" s="90"/>
      <c r="C47" s="85" t="s">
        <v>210</v>
      </c>
      <c r="D47" s="26" t="s">
        <v>211</v>
      </c>
      <c r="E47" s="83" t="s">
        <v>119</v>
      </c>
      <c r="F47" s="83" t="s">
        <v>120</v>
      </c>
      <c r="G47" s="83" t="s">
        <v>120</v>
      </c>
      <c r="H47" s="83" t="s">
        <v>120</v>
      </c>
      <c r="I47" s="61" t="s">
        <v>121</v>
      </c>
      <c r="J47" s="84" t="s">
        <v>121</v>
      </c>
      <c r="K47" s="2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61" t="n">
        <v>46.0</v>
      </c>
      <c r="B48" s="90"/>
      <c r="C48" s="26" t="s">
        <v>212</v>
      </c>
      <c r="D48" s="26" t="s">
        <v>213</v>
      </c>
      <c r="E48" s="83" t="s">
        <v>119</v>
      </c>
      <c r="F48" s="83" t="s">
        <v>120</v>
      </c>
      <c r="G48" s="83" t="s">
        <v>120</v>
      </c>
      <c r="H48" s="83" t="s">
        <v>120</v>
      </c>
      <c r="I48" s="61" t="s">
        <v>121</v>
      </c>
      <c r="J48" s="84" t="s">
        <v>121</v>
      </c>
      <c r="K48" s="2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</sheetData>
  <sheetCalcPr fullCalcOnLoad="true"/>
  <mergeCells count="2">
    <mergeCell ref="B41:B48"/>
    <mergeCell ref="B3:B40"/>
  </mergeCells>
  <dataValidations count="3">
    <dataValidation type="list" errorStyle="warning" allowBlank="true" showDropDown="false" showInputMessage="false" showErrorMessage="true" promptTitle="提示" prompt="您选择的不是下拉列表中的选项" sqref="I3:I48 J3:J48">
      <formula1>"待发布,已发布验证中,已发布验证通过,已发布验证失败,无需发布"</formula1>
    </dataValidation>
    <dataValidation type="list" errorStyle="warning" allowBlank="true" showDropDown="false" showInputMessage="false" showErrorMessage="true" promptTitle="提示" prompt="您选择的不是下拉列表中的选项" sqref="E3:E48">
      <formula1>"待创建,无需创建,已创建"</formula1>
    </dataValidation>
    <dataValidation type="list" errorStyle="warning" allowBlank="true" showDropDown="false" showInputMessage="false" showErrorMessage="true" promptTitle="提示" prompt="您选择的不是下拉列表中的选项" sqref="F3:F48 G3:G48 H3:H48">
      <formula1>"待合并,合并中,已合并,其他组已合并,无变更"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showGridLines="true" tabSelected="false" workbookViewId="0"/>
  </sheetViews>
  <cols>
    <col min="1" max="1" width="19.0" hidden="false" customWidth="true"/>
    <col min="2" max="2" width="14.0" hidden="false" customWidth="true"/>
    <col min="3" max="3" width="14.0" hidden="false" customWidth="true"/>
    <col min="4" max="4" width="17.0" hidden="false" customWidth="true"/>
    <col min="5" max="5" width="14.0" hidden="false" customWidth="true"/>
    <col min="6" max="6" width="14.0" hidden="false" customWidth="true"/>
    <col min="7" max="7" width="31.0" hidden="false" customWidth="true"/>
    <col min="8" max="8" width="14.0" hidden="false" customWidth="true"/>
    <col min="9" max="9" width="14.0" hidden="false" customWidth="true"/>
    <col min="10" max="10" width="14.0" hidden="false" customWidth="true"/>
    <col min="11" max="11" width="14.0" hidden="false" customWidth="true"/>
    <col min="12" max="12" width="14.0" hidden="false" customWidth="true"/>
    <col min="13" max="13" width="14.0" hidden="false" customWidth="true"/>
    <col min="14" max="14" width="14.0" hidden="false" customWidth="true"/>
    <col min="15" max="15" width="14.0" hidden="false" customWidth="true"/>
    <col min="16" max="16" width="14.0" hidden="false" customWidth="true"/>
    <col min="17" max="17" width="14.0" hidden="false" customWidth="true"/>
    <col min="18" max="18" width="14.0" hidden="false" customWidth="true"/>
    <col min="19" max="19" width="14.0" hidden="false" customWidth="true"/>
    <col min="20" max="20" width="14.0" hidden="false" customWidth="true"/>
    <col min="21" max="21" width="14.0" hidden="false" customWidth="true"/>
    <col min="22" max="22" width="14.0" hidden="false" customWidth="true"/>
    <col min="23" max="23" width="14.0" hidden="false" customWidth="true"/>
    <col min="24" max="24" width="14.0" hidden="false" customWidth="true"/>
    <col min="25" max="25" width="14.0" hidden="false" customWidth="true"/>
    <col min="26" max="26" width="14.0" hidden="false" customWidth="true"/>
  </cols>
  <sheetData>
    <row r="1">
      <c r="A1" s="92" t="s">
        <v>356</v>
      </c>
      <c r="B1" s="93"/>
      <c r="C1" s="93"/>
      <c r="D1" s="93"/>
      <c r="E1" s="3"/>
      <c r="F1" s="3"/>
      <c r="G1" s="92" t="s">
        <v>357</v>
      </c>
      <c r="H1" s="93"/>
      <c r="I1" s="93"/>
      <c r="J1" s="9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92" t="s">
        <v>358</v>
      </c>
      <c r="B2" s="94" t="s">
        <v>359</v>
      </c>
      <c r="C2" s="94" t="s">
        <v>360</v>
      </c>
      <c r="D2" s="94" t="s">
        <v>361</v>
      </c>
      <c r="E2" s="3"/>
      <c r="F2" s="3"/>
      <c r="G2" s="92" t="s">
        <v>362</v>
      </c>
      <c r="H2" s="94" t="s">
        <v>363</v>
      </c>
      <c r="I2" s="94" t="s">
        <v>364</v>
      </c>
      <c r="J2" s="94" t="s">
        <v>365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6" t="s">
        <v>102</v>
      </c>
      <c r="B3" s="60" t="s">
        <v>103</v>
      </c>
      <c r="C3" s="60"/>
      <c r="D3" s="60"/>
      <c r="E3" s="3"/>
      <c r="F3" s="3"/>
      <c r="G3" s="26" t="s">
        <v>104</v>
      </c>
      <c r="H3" s="60" t="s">
        <v>103</v>
      </c>
      <c r="I3" s="60"/>
      <c r="J3" s="60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6" t="s">
        <v>105</v>
      </c>
      <c r="B4" s="60" t="s">
        <v>103</v>
      </c>
      <c r="C4" s="60"/>
      <c r="D4" s="60"/>
      <c r="E4" s="3"/>
      <c r="F4" s="3"/>
      <c r="G4" s="26" t="s">
        <v>105</v>
      </c>
      <c r="H4" s="60" t="s">
        <v>103</v>
      </c>
      <c r="I4" s="60"/>
      <c r="J4" s="60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6" t="s">
        <v>106</v>
      </c>
      <c r="B5" s="60" t="s">
        <v>103</v>
      </c>
      <c r="C5" s="60"/>
      <c r="D5" s="60"/>
      <c r="E5" s="3"/>
      <c r="F5" s="3"/>
      <c r="G5" s="26" t="s">
        <v>106</v>
      </c>
      <c r="H5" s="60" t="s">
        <v>103</v>
      </c>
      <c r="I5" s="60"/>
      <c r="J5" s="60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6" t="s">
        <v>107</v>
      </c>
      <c r="B6" s="60" t="s">
        <v>103</v>
      </c>
      <c r="C6" s="60"/>
      <c r="D6" s="95"/>
      <c r="E6" s="3"/>
      <c r="F6" s="3"/>
      <c r="G6" s="26" t="s">
        <v>107</v>
      </c>
      <c r="H6" s="60" t="s">
        <v>103</v>
      </c>
      <c r="I6" s="60"/>
      <c r="J6" s="9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6" t="s">
        <v>108</v>
      </c>
      <c r="B7" s="60" t="s">
        <v>103</v>
      </c>
      <c r="C7" s="60"/>
      <c r="D7" s="60"/>
      <c r="E7" s="3"/>
      <c r="F7" s="3"/>
      <c r="G7" s="26" t="s">
        <v>108</v>
      </c>
      <c r="H7" s="60" t="s">
        <v>103</v>
      </c>
      <c r="I7" s="60"/>
      <c r="J7" s="6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6" t="s">
        <v>109</v>
      </c>
      <c r="B8" s="60" t="s">
        <v>103</v>
      </c>
      <c r="C8" s="60"/>
      <c r="D8" s="60"/>
      <c r="E8" s="3"/>
      <c r="F8" s="3"/>
      <c r="G8" s="26" t="s">
        <v>109</v>
      </c>
      <c r="H8" s="60" t="s">
        <v>103</v>
      </c>
      <c r="I8" s="60"/>
      <c r="J8" s="6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6" t="s">
        <v>110</v>
      </c>
      <c r="B9" s="60" t="s">
        <v>103</v>
      </c>
      <c r="C9" s="60"/>
      <c r="D9" s="60"/>
      <c r="E9" s="3"/>
      <c r="F9" s="3"/>
      <c r="G9" s="26" t="s">
        <v>110</v>
      </c>
      <c r="H9" s="60" t="s">
        <v>103</v>
      </c>
      <c r="I9" s="60"/>
      <c r="J9" s="6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6" t="s">
        <v>111</v>
      </c>
      <c r="B10" s="60" t="s">
        <v>103</v>
      </c>
      <c r="C10" s="60"/>
      <c r="D10" s="60"/>
      <c r="E10" s="3"/>
      <c r="F10" s="3"/>
      <c r="G10" s="26" t="s">
        <v>111</v>
      </c>
      <c r="H10" s="60" t="s">
        <v>103</v>
      </c>
      <c r="I10" s="60"/>
      <c r="J10" s="6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6" t="s">
        <v>112</v>
      </c>
      <c r="B11" s="60" t="s">
        <v>103</v>
      </c>
      <c r="C11" s="60"/>
      <c r="D11" s="60"/>
      <c r="E11" s="3"/>
      <c r="F11" s="3"/>
      <c r="G11" s="26" t="s">
        <v>112</v>
      </c>
      <c r="H11" s="60" t="s">
        <v>103</v>
      </c>
      <c r="I11" s="60"/>
      <c r="J11" s="6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6" t="s">
        <v>113</v>
      </c>
      <c r="B12" s="60" t="s">
        <v>103</v>
      </c>
      <c r="C12" s="60"/>
      <c r="D12" s="60"/>
      <c r="E12" s="3"/>
      <c r="F12" s="3"/>
      <c r="G12" s="26" t="s">
        <v>113</v>
      </c>
      <c r="H12" s="60" t="s">
        <v>103</v>
      </c>
      <c r="I12" s="60"/>
      <c r="J12" s="6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6" t="s">
        <v>114</v>
      </c>
      <c r="B13" s="60" t="s">
        <v>103</v>
      </c>
      <c r="C13" s="60"/>
      <c r="D13" s="60"/>
      <c r="E13" s="3"/>
      <c r="F13" s="3"/>
      <c r="G13" s="26" t="s">
        <v>114</v>
      </c>
      <c r="H13" s="60" t="s">
        <v>103</v>
      </c>
      <c r="I13" s="60"/>
      <c r="J13" s="6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6" t="s">
        <v>115</v>
      </c>
      <c r="B14" s="60" t="s">
        <v>103</v>
      </c>
      <c r="C14" s="60"/>
      <c r="D14" s="60"/>
      <c r="E14" s="3"/>
      <c r="F14" s="3"/>
      <c r="G14" s="26" t="s">
        <v>115</v>
      </c>
      <c r="H14" s="60" t="s">
        <v>103</v>
      </c>
      <c r="I14" s="60"/>
      <c r="J14" s="6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9"/>
      <c r="B15" s="96"/>
      <c r="C15" s="96"/>
      <c r="D15" s="9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9"/>
      <c r="B16" s="96"/>
      <c r="C16" s="96"/>
      <c r="D16" s="9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9"/>
      <c r="B17" s="96"/>
      <c r="C17" s="96"/>
      <c r="D17" s="9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9"/>
      <c r="B18" s="96"/>
      <c r="C18" s="96"/>
      <c r="D18" s="9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9"/>
      <c r="B19" s="96"/>
      <c r="C19" s="96"/>
      <c r="D19" s="9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9"/>
      <c r="B20" s="96"/>
      <c r="C20" s="96"/>
      <c r="D20" s="9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9"/>
      <c r="B21" s="96"/>
      <c r="C21" s="96"/>
      <c r="D21" s="9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9"/>
      <c r="B22" s="96"/>
      <c r="C22" s="96"/>
      <c r="D22" s="9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9"/>
      <c r="B23" s="96"/>
      <c r="C23" s="96"/>
      <c r="D23" s="9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9"/>
      <c r="B24" s="96"/>
      <c r="C24" s="96"/>
      <c r="D24" s="9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9"/>
      <c r="B25" s="96"/>
      <c r="C25" s="96"/>
      <c r="D25" s="9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9"/>
      <c r="B26" s="96"/>
      <c r="C26" s="96"/>
      <c r="D26" s="9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9"/>
      <c r="B27" s="96"/>
      <c r="C27" s="96"/>
      <c r="D27" s="9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9"/>
      <c r="B28" s="96"/>
      <c r="C28" s="96"/>
      <c r="D28" s="9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9"/>
      <c r="B29" s="96"/>
      <c r="C29" s="96"/>
      <c r="D29" s="9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9"/>
      <c r="B30" s="96"/>
      <c r="C30" s="96"/>
      <c r="D30" s="9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9"/>
      <c r="B31" s="96"/>
      <c r="C31" s="96"/>
      <c r="D31" s="9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9"/>
      <c r="B32" s="96"/>
      <c r="C32" s="96"/>
      <c r="D32" s="9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9"/>
      <c r="B33" s="96"/>
      <c r="C33" s="96"/>
      <c r="D33" s="9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9"/>
      <c r="B34" s="96"/>
      <c r="C34" s="96"/>
      <c r="D34" s="9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9"/>
      <c r="B35" s="96"/>
      <c r="C35" s="96"/>
      <c r="D35" s="9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9"/>
      <c r="B36" s="96"/>
      <c r="C36" s="96"/>
      <c r="D36" s="9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9"/>
      <c r="B37" s="96"/>
      <c r="C37" s="96"/>
      <c r="D37" s="9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9"/>
      <c r="B38" s="96"/>
      <c r="C38" s="96"/>
      <c r="D38" s="9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9"/>
      <c r="B39" s="96"/>
      <c r="C39" s="96"/>
      <c r="D39" s="9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9"/>
      <c r="B40" s="96"/>
      <c r="C40" s="96"/>
      <c r="D40" s="9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9"/>
      <c r="B41" s="96"/>
      <c r="C41" s="96"/>
      <c r="D41" s="9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9"/>
      <c r="B42" s="96"/>
      <c r="C42" s="96"/>
      <c r="D42" s="9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9"/>
      <c r="B43" s="96"/>
      <c r="C43" s="96"/>
      <c r="D43" s="9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9"/>
      <c r="B44" s="96"/>
      <c r="C44" s="96"/>
      <c r="D44" s="9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9"/>
      <c r="B45" s="96"/>
      <c r="C45" s="96"/>
      <c r="D45" s="9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9"/>
      <c r="B46" s="96"/>
      <c r="C46" s="96"/>
      <c r="D46" s="9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9"/>
      <c r="B47" s="96"/>
      <c r="C47" s="96"/>
      <c r="D47" s="9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9"/>
      <c r="B48" s="96"/>
      <c r="C48" s="96"/>
      <c r="D48" s="9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9"/>
      <c r="B49" s="96"/>
      <c r="C49" s="96"/>
      <c r="D49" s="9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9"/>
      <c r="B50" s="96"/>
      <c r="C50" s="96"/>
      <c r="D50" s="9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9"/>
      <c r="B51" s="96"/>
      <c r="C51" s="96"/>
      <c r="D51" s="9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9"/>
      <c r="B52" s="96"/>
      <c r="C52" s="96"/>
      <c r="D52" s="9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9"/>
      <c r="B53" s="96"/>
      <c r="C53" s="96"/>
      <c r="D53" s="9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9"/>
      <c r="B54" s="96"/>
      <c r="C54" s="96"/>
      <c r="D54" s="9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9"/>
      <c r="B55" s="96"/>
      <c r="C55" s="96"/>
      <c r="D55" s="9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9"/>
      <c r="B56" s="96"/>
      <c r="C56" s="96"/>
      <c r="D56" s="9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9"/>
      <c r="B57" s="96"/>
      <c r="C57" s="96"/>
      <c r="D57" s="9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9"/>
      <c r="B58" s="96"/>
      <c r="C58" s="96"/>
      <c r="D58" s="9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9"/>
      <c r="B59" s="96"/>
      <c r="C59" s="96"/>
      <c r="D59" s="9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9"/>
      <c r="B60" s="96"/>
      <c r="C60" s="96"/>
      <c r="D60" s="9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9"/>
      <c r="B61" s="96"/>
      <c r="C61" s="96"/>
      <c r="D61" s="9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9"/>
      <c r="B62" s="96"/>
      <c r="C62" s="96"/>
      <c r="D62" s="9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9"/>
      <c r="B63" s="96"/>
      <c r="C63" s="96"/>
      <c r="D63" s="9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9"/>
      <c r="B64" s="96"/>
      <c r="C64" s="96"/>
      <c r="D64" s="9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9"/>
      <c r="B65" s="96"/>
      <c r="C65" s="96"/>
      <c r="D65" s="9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9"/>
      <c r="B66" s="96"/>
      <c r="C66" s="96"/>
      <c r="D66" s="9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9"/>
      <c r="B67" s="96"/>
      <c r="C67" s="96"/>
      <c r="D67" s="9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9"/>
      <c r="B68" s="96"/>
      <c r="C68" s="96"/>
      <c r="D68" s="9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9"/>
      <c r="B69" s="96"/>
      <c r="C69" s="96"/>
      <c r="D69" s="9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9"/>
      <c r="B70" s="96"/>
      <c r="C70" s="96"/>
      <c r="D70" s="9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9"/>
      <c r="B71" s="96"/>
      <c r="C71" s="96"/>
      <c r="D71" s="9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9"/>
      <c r="B72" s="96"/>
      <c r="C72" s="96"/>
      <c r="D72" s="9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9"/>
      <c r="B73" s="96"/>
      <c r="C73" s="96"/>
      <c r="D73" s="9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9"/>
      <c r="B74" s="96"/>
      <c r="C74" s="96"/>
      <c r="D74" s="9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9"/>
      <c r="B75" s="96"/>
      <c r="C75" s="96"/>
      <c r="D75" s="9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9"/>
      <c r="B76" s="96"/>
      <c r="C76" s="96"/>
      <c r="D76" s="9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9"/>
      <c r="B77" s="96"/>
      <c r="C77" s="96"/>
      <c r="D77" s="9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9"/>
      <c r="B78" s="96"/>
      <c r="C78" s="96"/>
      <c r="D78" s="9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9"/>
      <c r="B79" s="96"/>
      <c r="C79" s="96"/>
      <c r="D79" s="9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9"/>
      <c r="B80" s="96"/>
      <c r="C80" s="96"/>
      <c r="D80" s="9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9"/>
      <c r="B81" s="96"/>
      <c r="C81" s="96"/>
      <c r="D81" s="9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9"/>
      <c r="B82" s="96"/>
      <c r="C82" s="96"/>
      <c r="D82" s="9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9"/>
      <c r="B83" s="96"/>
      <c r="C83" s="96"/>
      <c r="D83" s="9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9"/>
      <c r="B84" s="96"/>
      <c r="C84" s="96"/>
      <c r="D84" s="9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9"/>
      <c r="B85" s="96"/>
      <c r="C85" s="96"/>
      <c r="D85" s="9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9"/>
      <c r="B86" s="96"/>
      <c r="C86" s="96"/>
      <c r="D86" s="9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9"/>
      <c r="B87" s="96"/>
      <c r="C87" s="96"/>
      <c r="D87" s="9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9"/>
      <c r="B88" s="96"/>
      <c r="C88" s="96"/>
      <c r="D88" s="9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9"/>
      <c r="B89" s="96"/>
      <c r="C89" s="96"/>
      <c r="D89" s="9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9"/>
      <c r="B90" s="96"/>
      <c r="C90" s="96"/>
      <c r="D90" s="9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9"/>
      <c r="B91" s="96"/>
      <c r="C91" s="96"/>
      <c r="D91" s="9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9"/>
      <c r="B92" s="96"/>
      <c r="C92" s="96"/>
      <c r="D92" s="9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9"/>
      <c r="B93" s="96"/>
      <c r="C93" s="96"/>
      <c r="D93" s="9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9"/>
      <c r="B94" s="96"/>
      <c r="C94" s="96"/>
      <c r="D94" s="9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9"/>
      <c r="B95" s="96"/>
      <c r="C95" s="96"/>
      <c r="D95" s="9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9"/>
      <c r="B96" s="96"/>
      <c r="C96" s="96"/>
      <c r="D96" s="9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9"/>
      <c r="B97" s="96"/>
      <c r="C97" s="96"/>
      <c r="D97" s="9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9"/>
      <c r="B98" s="96"/>
      <c r="C98" s="96"/>
      <c r="D98" s="9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9"/>
      <c r="B99" s="96"/>
      <c r="C99" s="96"/>
      <c r="D99" s="9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9"/>
      <c r="B100" s="96"/>
      <c r="C100" s="96"/>
      <c r="D100" s="9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9"/>
      <c r="B101" s="96"/>
      <c r="C101" s="96"/>
      <c r="D101" s="9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9"/>
      <c r="B102" s="96"/>
      <c r="C102" s="96"/>
      <c r="D102" s="9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9"/>
      <c r="B103" s="96"/>
      <c r="C103" s="96"/>
      <c r="D103" s="9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9"/>
      <c r="B104" s="96"/>
      <c r="C104" s="96"/>
      <c r="D104" s="9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9"/>
      <c r="B105" s="96"/>
      <c r="C105" s="96"/>
      <c r="D105" s="9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9"/>
      <c r="B106" s="96"/>
      <c r="C106" s="96"/>
      <c r="D106" s="9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9"/>
      <c r="B107" s="96"/>
      <c r="C107" s="96"/>
      <c r="D107" s="9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9"/>
      <c r="B108" s="96"/>
      <c r="C108" s="96"/>
      <c r="D108" s="9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9"/>
      <c r="B109" s="96"/>
      <c r="C109" s="96"/>
      <c r="D109" s="9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9"/>
      <c r="B110" s="96"/>
      <c r="C110" s="96"/>
      <c r="D110" s="9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9"/>
      <c r="B111" s="96"/>
      <c r="C111" s="96"/>
      <c r="D111" s="9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9"/>
      <c r="B112" s="96"/>
      <c r="C112" s="96"/>
      <c r="D112" s="9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9"/>
      <c r="B113" s="96"/>
      <c r="C113" s="96"/>
      <c r="D113" s="9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9"/>
      <c r="B114" s="96"/>
      <c r="C114" s="96"/>
      <c r="D114" s="9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9"/>
      <c r="B115" s="96"/>
      <c r="C115" s="96"/>
      <c r="D115" s="9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9"/>
      <c r="B116" s="96"/>
      <c r="C116" s="96"/>
      <c r="D116" s="9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9"/>
      <c r="B117" s="96"/>
      <c r="C117" s="96"/>
      <c r="D117" s="9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9"/>
      <c r="B118" s="96"/>
      <c r="C118" s="96"/>
      <c r="D118" s="9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9"/>
      <c r="B119" s="96"/>
      <c r="C119" s="96"/>
      <c r="D119" s="9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9"/>
      <c r="B120" s="96"/>
      <c r="C120" s="96"/>
      <c r="D120" s="9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9"/>
      <c r="B121" s="96"/>
      <c r="C121" s="96"/>
      <c r="D121" s="9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9"/>
      <c r="B122" s="96"/>
      <c r="C122" s="96"/>
      <c r="D122" s="9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9"/>
      <c r="B123" s="96"/>
      <c r="C123" s="96"/>
      <c r="D123" s="9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9"/>
      <c r="B124" s="96"/>
      <c r="C124" s="96"/>
      <c r="D124" s="9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9"/>
      <c r="B125" s="96"/>
      <c r="C125" s="96"/>
      <c r="D125" s="9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9"/>
      <c r="B126" s="96"/>
      <c r="C126" s="96"/>
      <c r="D126" s="9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9"/>
      <c r="B127" s="96"/>
      <c r="C127" s="96"/>
      <c r="D127" s="9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9"/>
      <c r="B128" s="96"/>
      <c r="C128" s="96"/>
      <c r="D128" s="9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9"/>
      <c r="B129" s="96"/>
      <c r="C129" s="96"/>
      <c r="D129" s="9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9"/>
      <c r="B130" s="96"/>
      <c r="C130" s="96"/>
      <c r="D130" s="9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9"/>
      <c r="B131" s="96"/>
      <c r="C131" s="96"/>
      <c r="D131" s="9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9"/>
      <c r="B132" s="96"/>
      <c r="C132" s="96"/>
      <c r="D132" s="9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9"/>
      <c r="B133" s="96"/>
      <c r="C133" s="96"/>
      <c r="D133" s="9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9"/>
      <c r="B134" s="96"/>
      <c r="C134" s="96"/>
      <c r="D134" s="9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9"/>
      <c r="B135" s="96"/>
      <c r="C135" s="96"/>
      <c r="D135" s="9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9"/>
      <c r="B136" s="96"/>
      <c r="C136" s="96"/>
      <c r="D136" s="9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9"/>
      <c r="B137" s="96"/>
      <c r="C137" s="96"/>
      <c r="D137" s="9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9"/>
      <c r="B138" s="96"/>
      <c r="C138" s="96"/>
      <c r="D138" s="9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9"/>
      <c r="B139" s="96"/>
      <c r="C139" s="96"/>
      <c r="D139" s="9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9"/>
      <c r="B140" s="96"/>
      <c r="C140" s="96"/>
      <c r="D140" s="9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9"/>
      <c r="B141" s="96"/>
      <c r="C141" s="96"/>
      <c r="D141" s="9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9"/>
      <c r="B142" s="96"/>
      <c r="C142" s="96"/>
      <c r="D142" s="9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9"/>
      <c r="B143" s="96"/>
      <c r="C143" s="96"/>
      <c r="D143" s="9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9"/>
      <c r="B144" s="96"/>
      <c r="C144" s="96"/>
      <c r="D144" s="9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9"/>
      <c r="B145" s="96"/>
      <c r="C145" s="96"/>
      <c r="D145" s="9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9"/>
      <c r="B146" s="96"/>
      <c r="C146" s="96"/>
      <c r="D146" s="9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9"/>
      <c r="B147" s="96"/>
      <c r="C147" s="96"/>
      <c r="D147" s="9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9"/>
      <c r="B148" s="96"/>
      <c r="C148" s="96"/>
      <c r="D148" s="9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9"/>
      <c r="B149" s="96"/>
      <c r="C149" s="96"/>
      <c r="D149" s="9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9"/>
      <c r="B150" s="96"/>
      <c r="C150" s="96"/>
      <c r="D150" s="9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9"/>
      <c r="B151" s="96"/>
      <c r="C151" s="96"/>
      <c r="D151" s="9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9"/>
      <c r="B152" s="96"/>
      <c r="C152" s="96"/>
      <c r="D152" s="9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9"/>
      <c r="B153" s="96"/>
      <c r="C153" s="96"/>
      <c r="D153" s="9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9"/>
      <c r="B154" s="96"/>
      <c r="C154" s="96"/>
      <c r="D154" s="9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9"/>
      <c r="B155" s="96"/>
      <c r="C155" s="96"/>
      <c r="D155" s="9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9"/>
      <c r="B156" s="96"/>
      <c r="C156" s="96"/>
      <c r="D156" s="9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9"/>
      <c r="B157" s="96"/>
      <c r="C157" s="96"/>
      <c r="D157" s="9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9"/>
      <c r="B158" s="96"/>
      <c r="C158" s="96"/>
      <c r="D158" s="9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9"/>
      <c r="B159" s="96"/>
      <c r="C159" s="96"/>
      <c r="D159" s="9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9"/>
      <c r="B160" s="96"/>
      <c r="C160" s="96"/>
      <c r="D160" s="9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9"/>
      <c r="B161" s="96"/>
      <c r="C161" s="96"/>
      <c r="D161" s="9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9"/>
      <c r="B162" s="96"/>
      <c r="C162" s="96"/>
      <c r="D162" s="9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9"/>
      <c r="B163" s="96"/>
      <c r="C163" s="96"/>
      <c r="D163" s="9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9"/>
      <c r="B164" s="96"/>
      <c r="C164" s="96"/>
      <c r="D164" s="9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9"/>
      <c r="B165" s="96"/>
      <c r="C165" s="96"/>
      <c r="D165" s="9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9"/>
      <c r="B166" s="96"/>
      <c r="C166" s="96"/>
      <c r="D166" s="9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9"/>
      <c r="B167" s="96"/>
      <c r="C167" s="96"/>
      <c r="D167" s="9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9"/>
      <c r="B168" s="96"/>
      <c r="C168" s="96"/>
      <c r="D168" s="9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9"/>
      <c r="B169" s="96"/>
      <c r="C169" s="96"/>
      <c r="D169" s="9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9"/>
      <c r="B170" s="96"/>
      <c r="C170" s="96"/>
      <c r="D170" s="9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9"/>
      <c r="B171" s="96"/>
      <c r="C171" s="96"/>
      <c r="D171" s="9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9"/>
      <c r="B172" s="96"/>
      <c r="C172" s="96"/>
      <c r="D172" s="9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9"/>
      <c r="B173" s="96"/>
      <c r="C173" s="96"/>
      <c r="D173" s="9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9"/>
      <c r="B174" s="96"/>
      <c r="C174" s="96"/>
      <c r="D174" s="9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9"/>
      <c r="B175" s="96"/>
      <c r="C175" s="96"/>
      <c r="D175" s="9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9"/>
      <c r="B176" s="96"/>
      <c r="C176" s="96"/>
      <c r="D176" s="9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9"/>
      <c r="B177" s="96"/>
      <c r="C177" s="96"/>
      <c r="D177" s="9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9"/>
      <c r="B178" s="96"/>
      <c r="C178" s="96"/>
      <c r="D178" s="9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9"/>
      <c r="B179" s="96"/>
      <c r="C179" s="96"/>
      <c r="D179" s="9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9"/>
      <c r="B180" s="96"/>
      <c r="C180" s="96"/>
      <c r="D180" s="9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9"/>
      <c r="B181" s="96"/>
      <c r="C181" s="96"/>
      <c r="D181" s="9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9"/>
      <c r="B182" s="96"/>
      <c r="C182" s="96"/>
      <c r="D182" s="9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9"/>
      <c r="B183" s="96"/>
      <c r="C183" s="96"/>
      <c r="D183" s="9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9"/>
      <c r="B184" s="96"/>
      <c r="C184" s="96"/>
      <c r="D184" s="9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9"/>
      <c r="B185" s="96"/>
      <c r="C185" s="96"/>
      <c r="D185" s="9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9"/>
      <c r="B186" s="96"/>
      <c r="C186" s="96"/>
      <c r="D186" s="9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9"/>
      <c r="B187" s="96"/>
      <c r="C187" s="96"/>
      <c r="D187" s="9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9"/>
      <c r="B188" s="96"/>
      <c r="C188" s="96"/>
      <c r="D188" s="9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9"/>
      <c r="B189" s="96"/>
      <c r="C189" s="96"/>
      <c r="D189" s="9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9"/>
      <c r="B190" s="96"/>
      <c r="C190" s="96"/>
      <c r="D190" s="9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9"/>
      <c r="B191" s="96"/>
      <c r="C191" s="96"/>
      <c r="D191" s="9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9"/>
      <c r="B192" s="96"/>
      <c r="C192" s="96"/>
      <c r="D192" s="9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9"/>
      <c r="B193" s="96"/>
      <c r="C193" s="96"/>
      <c r="D193" s="9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9"/>
      <c r="B194" s="96"/>
      <c r="C194" s="96"/>
      <c r="D194" s="9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9"/>
      <c r="B195" s="96"/>
      <c r="C195" s="96"/>
      <c r="D195" s="9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9"/>
      <c r="B196" s="96"/>
      <c r="C196" s="96"/>
      <c r="D196" s="9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9"/>
      <c r="B197" s="96"/>
      <c r="C197" s="96"/>
      <c r="D197" s="9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9"/>
      <c r="B198" s="96"/>
      <c r="C198" s="96"/>
      <c r="D198" s="9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9"/>
      <c r="B199" s="96"/>
      <c r="C199" s="96"/>
      <c r="D199" s="9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9"/>
      <c r="B200" s="96"/>
      <c r="C200" s="96"/>
      <c r="D200" s="9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9"/>
      <c r="B201" s="96"/>
      <c r="C201" s="96"/>
      <c r="D201" s="9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</sheetData>
  <sheetCalcPr fullCalcOnLoad="true"/>
  <dataValidations count="2">
    <dataValidation type="list" errorStyle="warning" allowBlank="true" showDropDown="false" showInputMessage="false" showErrorMessage="true" promptTitle="提示" prompt="您选择的不是下拉列表中的选项" sqref="C3:C14 I3:I14">
      <formula1>"待同步,已同步"</formula1>
    </dataValidation>
    <dataValidation type="list" errorStyle="warning" allowBlank="true" showDropDown="false" showInputMessage="false" showErrorMessage="true" promptTitle="提示" prompt="您选择的不是下拉列表中的选项" sqref="B3:B14 H3:H14">
      <formula1>"待同步,已同步,异常"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Tencent Document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2023-07-24T02:34:36Z</dcterms:created>
  <dc:creator>Tencent Document</dc:creator>
  <cp:lastModifiedBy>Tencent Document</cp:lastModifiedBy>
</cp:coreProperties>
</file>